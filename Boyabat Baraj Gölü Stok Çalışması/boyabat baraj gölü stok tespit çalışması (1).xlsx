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6F2EDDFA-4778-4AC6-A37F-D5984DCB252D}" xr6:coauthVersionLast="47" xr6:coauthVersionMax="47" xr10:uidLastSave="{00000000-0000-0000-0000-000000000000}"/>
  <bookViews>
    <workbookView xWindow="-120" yWindow="-120" windowWidth="20730" windowHeight="11160" xr2:uid="{00000000-000D-0000-FFFF-FFFF00000000}"/>
  </bookViews>
  <sheets>
    <sheet name="Sayfa2" sheetId="2" r:id="rId1"/>
    <sheet name="Sonuç" sheetId="6" r:id="rId2"/>
    <sheet name="Sayfa4"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9" i="2" l="1"/>
  <c r="E39" i="2"/>
  <c r="I21" i="2"/>
  <c r="E21" i="2"/>
  <c r="H3" i="6" l="1"/>
  <c r="C3" i="6" l="1"/>
  <c r="C4" i="6"/>
  <c r="C2" i="6"/>
  <c r="B2" i="8"/>
  <c r="C2" i="8"/>
  <c r="D2" i="8"/>
  <c r="B3" i="8"/>
  <c r="C3" i="8"/>
  <c r="D3" i="8"/>
  <c r="D1" i="8"/>
  <c r="C1" i="8"/>
  <c r="B1" i="8"/>
  <c r="D12" i="8"/>
  <c r="D13" i="8"/>
  <c r="D11" i="8"/>
  <c r="C12" i="8"/>
  <c r="C13" i="8"/>
  <c r="C11" i="8"/>
  <c r="B12" i="8"/>
  <c r="B13" i="8"/>
  <c r="B11" i="8"/>
  <c r="D7" i="8"/>
  <c r="D8" i="8"/>
  <c r="D6" i="8"/>
  <c r="C7" i="8"/>
  <c r="C8" i="8"/>
  <c r="C6" i="8"/>
  <c r="B7" i="8"/>
  <c r="B8" i="8"/>
  <c r="B6" i="8"/>
  <c r="E2" i="8" l="1"/>
  <c r="D4" i="8"/>
  <c r="E3" i="8"/>
  <c r="E6" i="8"/>
  <c r="E8" i="8"/>
  <c r="E7" i="8"/>
  <c r="E11" i="8"/>
  <c r="E13" i="8"/>
  <c r="E12" i="8"/>
  <c r="D14" i="8"/>
  <c r="B4" i="8"/>
  <c r="E1" i="8"/>
  <c r="I1" i="6"/>
  <c r="H1" i="6" s="1"/>
  <c r="C4" i="8"/>
  <c r="B9" i="8"/>
  <c r="C14" i="8"/>
  <c r="D9" i="8"/>
  <c r="B14" i="8"/>
  <c r="C9" i="8"/>
  <c r="E9" i="8" l="1"/>
  <c r="E14" i="8"/>
  <c r="E4" i="8"/>
  <c r="E9" i="6"/>
  <c r="C9" i="6"/>
  <c r="E8" i="6"/>
  <c r="C8" i="6"/>
  <c r="B9" i="6"/>
  <c r="B8" i="6"/>
  <c r="E7" i="6"/>
  <c r="C7" i="6"/>
  <c r="B7" i="6"/>
  <c r="F54" i="2"/>
  <c r="E15" i="6" s="1"/>
  <c r="J54" i="2"/>
  <c r="F15" i="6" s="1"/>
  <c r="I3" i="2"/>
  <c r="E3" i="2"/>
  <c r="J18" i="2"/>
  <c r="F13" i="6" s="1"/>
  <c r="F18" i="2"/>
  <c r="B18" i="2"/>
  <c r="D13" i="6" s="1"/>
  <c r="B15" i="6"/>
  <c r="B14" i="6"/>
  <c r="B13" i="6"/>
  <c r="B36" i="2"/>
  <c r="D14" i="6" s="1"/>
  <c r="B10" i="6" l="1"/>
  <c r="E15" i="8"/>
  <c r="A19" i="2"/>
  <c r="F8" i="6"/>
  <c r="E13" i="6"/>
  <c r="F7" i="6"/>
  <c r="F9" i="6"/>
  <c r="B54" i="2"/>
  <c r="J36" i="2"/>
  <c r="F14" i="6" s="1"/>
  <c r="F23" i="6" s="1"/>
  <c r="F36" i="2"/>
  <c r="A37" i="2" l="1"/>
  <c r="E14" i="6"/>
  <c r="E23" i="6" s="1"/>
  <c r="D15" i="6"/>
  <c r="D23" i="6" s="1"/>
  <c r="A55" i="2"/>
  <c r="G7" i="6"/>
  <c r="C36" i="6" l="1"/>
  <c r="E36" i="6" s="1"/>
  <c r="C40" i="6"/>
  <c r="C37" i="6"/>
  <c r="E37" i="6" s="1"/>
  <c r="C41" i="6"/>
  <c r="C38" i="6"/>
  <c r="C35" i="6"/>
  <c r="C39" i="6"/>
  <c r="C13" i="6"/>
  <c r="G22" i="6" s="1"/>
  <c r="J22" i="6" s="1"/>
  <c r="H17" i="6"/>
  <c r="K17" i="6" s="1"/>
  <c r="H15" i="6"/>
  <c r="K15" i="6" s="1"/>
  <c r="G23" i="6"/>
  <c r="J23" i="6" s="1"/>
  <c r="I18" i="6"/>
  <c r="L18" i="6" s="1"/>
  <c r="G17" i="6"/>
  <c r="J17" i="6" s="1"/>
  <c r="E41" i="6" l="1"/>
  <c r="E39" i="6"/>
  <c r="E40" i="6"/>
  <c r="E38" i="6"/>
  <c r="I20" i="6"/>
  <c r="L20" i="6" s="1"/>
  <c r="I22" i="6"/>
  <c r="L22" i="6" s="1"/>
  <c r="H23" i="6"/>
  <c r="K23" i="6" s="1"/>
  <c r="I13" i="6"/>
  <c r="L13" i="6" s="1"/>
  <c r="I16" i="6"/>
  <c r="L16" i="6" s="1"/>
  <c r="G19" i="6"/>
  <c r="J19" i="6" s="1"/>
  <c r="G13" i="6"/>
  <c r="J13" i="6" s="1"/>
  <c r="I19" i="6"/>
  <c r="L19" i="6" s="1"/>
  <c r="G20" i="6"/>
  <c r="J20" i="6" s="1"/>
  <c r="H14" i="6"/>
  <c r="K14" i="6" s="1"/>
  <c r="H22" i="6"/>
  <c r="K22" i="6" s="1"/>
  <c r="G14" i="6"/>
  <c r="J14" i="6" s="1"/>
  <c r="H13" i="6"/>
  <c r="K13" i="6" s="1"/>
  <c r="G21" i="6"/>
  <c r="J21" i="6" s="1"/>
  <c r="H20" i="6"/>
  <c r="K20" i="6" s="1"/>
  <c r="I17" i="6"/>
  <c r="L17" i="6" s="1"/>
  <c r="I23" i="6"/>
  <c r="L23" i="6" s="1"/>
  <c r="I15" i="6"/>
  <c r="L15" i="6" s="1"/>
  <c r="G16" i="6"/>
  <c r="J16" i="6" s="1"/>
  <c r="E35" i="6"/>
  <c r="C42" i="6"/>
  <c r="D41" i="6" s="1"/>
  <c r="G15" i="6"/>
  <c r="J15" i="6" s="1"/>
  <c r="I14" i="6"/>
  <c r="L14" i="6" s="1"/>
  <c r="I21" i="6"/>
  <c r="L21" i="6" s="1"/>
  <c r="H21" i="6"/>
  <c r="K21" i="6" s="1"/>
  <c r="H19" i="6"/>
  <c r="K19" i="6" s="1"/>
  <c r="H18" i="6"/>
  <c r="K18" i="6" s="1"/>
  <c r="H16" i="6"/>
  <c r="K16" i="6" s="1"/>
  <c r="G18" i="6"/>
  <c r="J18" i="6" s="1"/>
  <c r="D39" i="6" l="1"/>
  <c r="D38" i="6"/>
  <c r="D40" i="6"/>
  <c r="J24" i="6"/>
  <c r="K29" i="6" s="1"/>
  <c r="L29" i="6" s="1"/>
  <c r="A48" i="6" s="1"/>
  <c r="D37" i="6"/>
  <c r="D36" i="6"/>
  <c r="D35" i="6"/>
  <c r="K28" i="6" l="1"/>
  <c r="L28" i="6" s="1"/>
  <c r="K30" i="6"/>
  <c r="D4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 authorId="0" shapeId="0" xr:uid="{00000000-0006-0000-0100-00000100000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xr:uid="{00000000-0006-0000-0100-00000200000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xr:uid="{00000000-0006-0000-0100-00000300000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xr:uid="{00000000-0006-0000-0100-00000400000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xr:uid="{00000000-0006-0000-0100-00000500000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xr:uid="{00000000-0006-0000-0100-000006000000}">
      <text>
        <r>
          <rPr>
            <b/>
            <sz val="9"/>
            <color indexed="81"/>
            <rFont val="Tahoma"/>
            <family val="2"/>
            <charset val="162"/>
          </rPr>
          <t>Yazar:</t>
        </r>
        <r>
          <rPr>
            <sz val="9"/>
            <color indexed="81"/>
            <rFont val="Tahoma"/>
            <family val="2"/>
            <charset val="162"/>
          </rPr>
          <t xml:space="preserve">
Mantar yakanın uzunluğu</t>
        </r>
      </text>
    </comment>
    <comment ref="D6" authorId="0" shapeId="0" xr:uid="{00000000-0006-0000-0100-00000700000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xr:uid="{00000000-0006-0000-0100-00000800000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xr:uid="{00000000-0006-0000-0100-00000900000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xr:uid="{00000000-0006-0000-0100-00000A00000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xr:uid="{00000000-0006-0000-0100-00000B00000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xr:uid="{00000000-0006-0000-0100-00000C00000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xr:uid="{00000000-0006-0000-0100-00000D00000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xr:uid="{00000000-0006-0000-0100-00000E000000}">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xr:uid="{00000000-0006-0000-0100-00000F00000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xr:uid="{00000000-0006-0000-0100-00001000000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xr:uid="{00000000-0006-0000-0100-00001100000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xr:uid="{00000000-0006-0000-0100-00001200000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xr:uid="{00000000-0006-0000-0100-00001300000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xr:uid="{00000000-0006-0000-0100-00001400000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xr:uid="{00000000-0006-0000-0100-00001500000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<sst xmlns="http://schemas.openxmlformats.org/spreadsheetml/2006/main" count="208" uniqueCount="78">
  <si>
    <t>1. İSTASYON</t>
  </si>
  <si>
    <t>AV ARACI</t>
  </si>
  <si>
    <t>KOORDİNAT</t>
  </si>
  <si>
    <t>41°19'07.0"N   34°55'08.5"E</t>
  </si>
  <si>
    <t>41°18'42.0"N   34°55'22.0"E</t>
  </si>
  <si>
    <t>41°19'11.4"N   34°55'48.6"E</t>
  </si>
  <si>
    <t>TÜRLER</t>
  </si>
  <si>
    <t>41°18'48.6"N   34°55'18.1"E</t>
  </si>
  <si>
    <t>41°19'09.8"N   34°56'20.5"E</t>
  </si>
  <si>
    <t>41°17'29.8"N   34°55'39.0"E</t>
  </si>
  <si>
    <t>41°17'06.9"N   34°54'49.1"E</t>
  </si>
  <si>
    <t>41°17'03.5"N   34°54'24.3"E</t>
  </si>
  <si>
    <t>41°16'55.8"N   34°53'59.3"E</t>
  </si>
  <si>
    <t>22.06.2021-25.06.2021 BOYABAT BARAJ GÖLÜ STOK TESPİT ÇALIŞMASI SONUÇLARI</t>
  </si>
  <si>
    <t>Çizelgede verilen tarihler ağların koordinatlara kurulduğu tarihtir.</t>
  </si>
  <si>
    <t>Çekimler bir sonraki gün saat 08:00-10:00 arasında yapılmıştır.</t>
  </si>
  <si>
    <t>22.06.2021 de ağlar akşam saat 18:00 de diğer günler sabah çekimden sonra kurulmuştur.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</si>
  <si>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</si>
  <si>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</si>
  <si>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</si>
  <si>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</si>
  <si>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</si>
  <si>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</si>
  <si>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</si>
  <si>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</si>
  <si>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</si>
  <si>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</si>
  <si>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</si>
  <si>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</si>
  <si>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</si>
  <si>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</si>
  <si>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</si>
  <si>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</si>
  <si>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</si>
  <si>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</si>
  <si>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</si>
  <si>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</si>
  <si>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</si>
  <si>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</si>
  <si>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</si>
  <si>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</si>
  <si>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</si>
  <si>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</si>
  <si>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</si>
  <si>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</si>
  <si>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</si>
  <si>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</si>
  <si>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</si>
  <si>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</si>
  <si>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</si>
  <si>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</si>
  <si>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</si>
  <si>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</si>
  <si>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</si>
  <si>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</si>
  <si>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</si>
  <si>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</si>
  <si>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</si>
  <si>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Saraydüzü Boyabat Baraj Gölü</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</si>
  <si>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</si>
  <si>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</si>
  <si>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</si>
  <si>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</si>
  <si>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</si>
  <si>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</si>
  <si>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</si>
  <si>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</si>
  <si>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Kaya balığı</t>
  </si>
  <si>
    <t>P.marmoratus</t>
  </si>
  <si>
    <t>22.06.2021</t>
  </si>
  <si>
    <t>23.06.2021</t>
  </si>
  <si>
    <t>24.06.2021</t>
  </si>
  <si>
    <t>E=0,5</t>
  </si>
  <si>
    <t xml:space="preserve"> alınırsa </t>
  </si>
  <si>
    <t>E=0,3</t>
  </si>
  <si>
    <t>E=0,4</t>
  </si>
  <si>
    <t>2. İSTASYON</t>
  </si>
  <si>
    <t>3. İSTASYON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</si>
</sst>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 \k\m\²"/>
    <numFmt numFmtId="166" formatCode="#,###\ \m\²"/>
    <numFmt numFmtId="167" formatCode="#,##0.0000000"/>
  </numFmts>
  <fonts count="13" x14ac:knownFonts="1">
    <font>
      <sz val="11"/>
      <color theme="1"/>
      <name val="Calibri"/>
      <family val="2"/>
      <scheme val="minor"/>
    </font>
    <font>
      <sz val="11"/>
      <color theme="1"/>
      <name val="Calibri"/>
      <family val="2"/>
      <charset val="162"/>
      <scheme val="minor"/>
    </font>
    <font>
      <i/>
      <sz val="11"/>
      <color theme="1"/>
      <name val="Calibri"/>
      <family val="2"/>
      <charset val="162"/>
      <scheme val="minor"/>
    </font>
    <font>
      <sz val="11"/>
      <color theme="1"/>
      <name val="Times New Roman"/>
      <family val="1"/>
      <charset val="162"/>
    </font>
    <font>
      <b/>
      <sz val="11"/>
      <color theme="1"/>
      <name val="Times New Roman"/>
      <family val="1"/>
      <charset val="162"/>
    </font>
    <font>
      <i/>
      <sz val="11"/>
      <color theme="1"/>
      <name val="Times New Roman"/>
      <family val="1"/>
      <charset val="162"/>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b/>
      <i/>
      <sz val="11"/>
      <color theme="1"/>
      <name val="Times New Roman"/>
      <family val="1"/>
      <charset val="162"/>
    </font>
    <font>
      <sz val="11"/>
      <color rgb="FF222222"/>
      <name val="Arial"/>
      <family val="2"/>
      <charset val="162"/>
    </font>
    <font>
      <sz val="11"/>
      <color rgb="FF202124"/>
      <name val="Arial"/>
      <family val="2"/>
      <charset val="16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5">
    <xf numFmtId="0" fontId="0" fillId="0" borderId="0" xfId="0"/>
    <xf numFmtId="0" fontId="3" fillId="0" borderId="0" xfId="0" applyFont="1"/>
    <xf numFmtId="14" fontId="4" fillId="0" borderId="0" xfId="0" applyNumberFormat="1" applyFont="1" applyAlignment="1">
      <alignment horizontal="left"/>
    </xf>
    <xf numFmtId="0" fontId="4" fillId="0" borderId="0" xfId="0" applyFont="1" applyAlignment="1">
      <alignment horizontal="center"/>
    </xf>
    <xf numFmtId="0" fontId="4" fillId="0" borderId="0" xfId="0" applyFont="1" applyAlignment="1">
      <alignment horizontal="left"/>
    </xf>
    <xf numFmtId="0" fontId="3" fillId="0" borderId="0" xfId="0" applyFont="1" applyAlignment="1">
      <alignment horizontal="center"/>
    </xf>
    <xf numFmtId="3" fontId="3" fillId="0" borderId="0" xfId="0" applyNumberFormat="1" applyFont="1" applyAlignment="1">
      <alignment horizontal="right" indent="4"/>
    </xf>
    <xf numFmtId="0" fontId="5" fillId="0" borderId="0" xfId="0" applyFont="1" applyAlignment="1">
      <alignment horizontal="right" indent="4"/>
    </xf>
    <xf numFmtId="0" fontId="4" fillId="0" borderId="0" xfId="0" applyFont="1" applyAlignment="1">
      <alignment horizontal="left" indent="1"/>
    </xf>
    <xf numFmtId="3" fontId="3" fillId="0" borderId="0" xfId="0" applyNumberFormat="1" applyFont="1" applyAlignment="1">
      <alignment horizontal="left" indent="1"/>
    </xf>
    <xf numFmtId="0" fontId="5" fillId="0" borderId="0" xfId="0" applyFont="1" applyAlignment="1">
      <alignment horizontal="left" indent="1"/>
    </xf>
    <xf numFmtId="0" fontId="3" fillId="0" borderId="0" xfId="0" applyFont="1" applyAlignment="1">
      <alignment horizontal="left" indent="1"/>
    </xf>
    <xf numFmtId="164" fontId="5" fillId="0" borderId="0" xfId="0" applyNumberFormat="1" applyFont="1" applyAlignment="1">
      <alignment horizontal="right" indent="4"/>
    </xf>
    <xf numFmtId="0" fontId="0" fillId="0" borderId="0" xfId="0" applyAlignment="1">
      <alignment horizontal="center"/>
    </xf>
    <xf numFmtId="164" fontId="3" fillId="0" borderId="0" xfId="0" applyNumberFormat="1" applyFont="1" applyAlignment="1">
      <alignment horizontal="center"/>
    </xf>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3" fontId="5" fillId="0" borderId="0" xfId="0" applyNumberFormat="1" applyFont="1" applyAlignment="1">
      <alignment horizontal="right" indent="4"/>
    </xf>
    <xf numFmtId="0" fontId="3" fillId="0" borderId="0" xfId="0" applyFont="1" applyAlignment="1">
      <alignment horizontal="right" indent="4"/>
    </xf>
    <xf numFmtId="0" fontId="9" fillId="0" borderId="0" xfId="0" applyFont="1" applyAlignment="1">
      <alignment horizontal="center"/>
    </xf>
    <xf numFmtId="0" fontId="9" fillId="0" borderId="0" xfId="0" applyFont="1" applyAlignment="1">
      <alignment horizontal="right" indent="4"/>
    </xf>
    <xf numFmtId="0" fontId="4" fillId="0" borderId="0" xfId="0" applyFont="1"/>
    <xf numFmtId="164" fontId="0" fillId="0" borderId="0" xfId="0" applyNumberFormat="1" applyAlignment="1">
      <alignment horizontal="right" vertical="center" wrapText="1" indent="1"/>
    </xf>
    <xf numFmtId="4" fontId="0" fillId="0" borderId="0" xfId="0" applyNumberFormat="1"/>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165"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shrinkToFit="1"/>
    </xf>
    <xf numFmtId="0" fontId="2"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14" fontId="4" fillId="0" borderId="0" xfId="0" quotePrefix="1" applyNumberFormat="1" applyFont="1" applyAlignment="1">
      <alignment horizontal="left"/>
    </xf>
    <xf numFmtId="0" fontId="0" fillId="0" borderId="0" xfId="0" applyAlignment="1">
      <alignment horizontal="right" vertical="center" wrapText="1"/>
    </xf>
    <xf numFmtId="0" fontId="12"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center"/>
    </xf>
    <xf numFmtId="164" fontId="3" fillId="0" borderId="0" xfId="0" applyNumberFormat="1" applyFont="1" applyAlignment="1">
      <alignment horizontal="right" indent="6"/>
    </xf>
    <xf numFmtId="0" fontId="3" fillId="0" borderId="0" xfId="0" applyFont="1" applyAlignment="1">
      <alignment horizontal="right" indent="6"/>
    </xf>
    <xf numFmtId="14" fontId="4" fillId="0" borderId="0" xfId="0" applyNumberFormat="1" applyFont="1" applyAlignment="1">
      <alignment horizontal="center"/>
    </xf>
    <xf numFmtId="164" fontId="5" fillId="0" borderId="0" xfId="0" applyNumberFormat="1" applyFont="1" applyAlignment="1">
      <alignment horizontal="right" indent="6"/>
    </xf>
    <xf numFmtId="164" fontId="4" fillId="0" borderId="0" xfId="0" applyNumberFormat="1" applyFont="1" applyAlignment="1">
      <alignment horizontal="right" indent="6"/>
    </xf>
    <xf numFmtId="0" fontId="4" fillId="0" borderId="0" xfId="0" applyFont="1" applyAlignment="1">
      <alignment horizontal="right" indent="6"/>
    </xf>
    <xf numFmtId="164" fontId="4" fillId="0" borderId="0" xfId="0" applyNumberFormat="1" applyFont="1" applyAlignment="1">
      <alignment horizontal="center"/>
    </xf>
    <xf numFmtId="164" fontId="9" fillId="0" borderId="0" xfId="0" applyNumberFormat="1" applyFont="1" applyAlignment="1">
      <alignment horizontal="right" indent="6"/>
    </xf>
    <xf numFmtId="0" fontId="0" fillId="0" borderId="0" xfId="0" applyAlignment="1">
      <alignment horizontal="center" vertical="center" wrapText="1"/>
    </xf>
    <xf numFmtId="166"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justify"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SARAYDÜZÜ</a:t>
            </a:r>
            <a:r>
              <a:rPr lang="tr-TR" baseline="0"/>
              <a:t> BOYABAT 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D2-47CE-94D8-93D0A01955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D2-47CE-94D8-93D0A01955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D2-47CE-94D8-93D0A01955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3D2-47CE-94D8-93D0A01955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3D2-47CE-94D8-93D0A01955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3D2-47CE-94D8-93D0A019552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3D2-47CE-94D8-93D0A01955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Sonuç!$B$35:$B$41</c:f>
              <c:strCache>
                <c:ptCount val="7"/>
                <c:pt idx="0">
                  <c:v>C.carpio</c:v>
                </c:pt>
                <c:pt idx="1">
                  <c:v>S. glanis</c:v>
                </c:pt>
                <c:pt idx="2">
                  <c:v>S. lucioperca</c:v>
                </c:pt>
                <c:pt idx="3">
                  <c:v>Capoeta sp.</c:v>
                </c:pt>
                <c:pt idx="4">
                  <c:v>S.cephalus</c:v>
                </c:pt>
                <c:pt idx="5">
                  <c:v>Barbus sp.</c:v>
                </c:pt>
                <c:pt idx="6">
                  <c:v>P.marmoratus</c:v>
                </c:pt>
              </c:strCache>
            </c:strRef>
          </c:cat>
          <c:val>
            <c:numRef>
              <c:f>Sonuç!$C$35:$C$41</c:f>
              <c:numCache>
                <c:formatCode>#,##0.00</c:formatCode>
                <c:ptCount val="7"/>
                <c:pt idx="0">
                  <c:v>22.78</c:v>
                </c:pt>
                <c:pt idx="1">
                  <c:v>12.149999999999999</c:v>
                </c:pt>
                <c:pt idx="2">
                  <c:v>7.5299999999999994</c:v>
                </c:pt>
                <c:pt idx="3">
                  <c:v>0.2</c:v>
                </c:pt>
                <c:pt idx="4">
                  <c:v>0.6</c:v>
                </c:pt>
                <c:pt idx="5">
                  <c:v>0</c:v>
                </c:pt>
                <c:pt idx="6">
                  <c:v>0</c:v>
                </c:pt>
              </c:numCache>
            </c:numRef>
          </c:val>
          <c:extLst>
            <c:ext xmlns:c16="http://schemas.microsoft.com/office/drawing/2014/chart" uri="{C3380CC4-5D6E-409C-BE32-E72D297353CC}">
              <c16:uniqueId val="{0000000E-D3D2-47CE-94D8-93D0A019552D}"/>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
  <sheetViews>
    <sheetView tabSelected="1" topLeftCell="A16" zoomScale="85" zoomScaleNormal="85" workbookViewId="0">
      <selection activeCell="F31" sqref="F31:G31"/>
    </sheetView>
  </sheetViews>
  <sheetFormatPr defaultRowHeight="15" x14ac:dyDescent="0.25"/>
  <cols>
    <col min="1" max="1" width="17.28515625" style="1" customWidth="1"/>
    <col min="2" max="2" width="9.42578125" style="1" customWidth="1"/>
    <col min="3" max="3" width="12.7109375" style="1" customWidth="1"/>
    <col min="4" max="4" width="13.28515625" style="1" bestFit="1" customWidth="1"/>
    <col min="5" max="5" width="17.28515625" style="1" customWidth="1"/>
    <col min="6" max="6" width="9.28515625" style="1" customWidth="1"/>
    <col min="7" max="7" width="12.7109375" style="1" customWidth="1"/>
    <col min="8" max="8" width="13.28515625" style="1" customWidth="1"/>
    <col min="9" max="9" width="16.5703125" style="1" customWidth="1"/>
    <col min="10" max="10" width="9.140625" style="1" customWidth="1"/>
    <col min="11" max="11" width="12.7109375" style="1" customWidth="1"/>
    <col min="12" max="12" width="13.140625" style="1" customWidth="1"/>
    <col min="13" max="16384" width="9.140625" style="1"/>
  </cols>
  <sheetData>
    <row r="1" spans="1:12" x14ac:dyDescent="0.25">
      <c r="A1" s="42" t="s">
        <v>13</v>
      </c>
      <c r="B1" s="42"/>
      <c r="C1" s="42"/>
      <c r="D1" s="42"/>
      <c r="E1" s="42"/>
      <c r="F1" s="42"/>
      <c r="G1" s="42"/>
      <c r="H1" s="42"/>
      <c r="I1" s="42"/>
      <c r="J1" s="42"/>
      <c r="K1" s="42"/>
      <c r="L1" s="42"/>
    </row>
    <row r="3" spans="1:12" x14ac:dyDescent="0.25">
      <c r="A3" s="38" t="s">
        <v>69</v>
      </c>
      <c r="B3" s="45" t="s">
        <v>0</v>
      </c>
      <c r="C3" s="45"/>
      <c r="D3" s="45"/>
      <c r="E3" s="2" t="str">
        <f>+A3</f>
        <v>22.06.2021</v>
      </c>
      <c r="F3" s="45" t="s">
        <v>76</v>
      </c>
      <c r="G3" s="45"/>
      <c r="H3" s="45"/>
      <c r="I3" s="2" t="str">
        <f>+A3</f>
        <v>22.06.2021</v>
      </c>
      <c r="J3" s="45" t="s">
        <v>77</v>
      </c>
      <c r="K3" s="45"/>
      <c r="L3" s="45"/>
    </row>
    <row r="4" spans="1:12" x14ac:dyDescent="0.25">
      <c r="A4" s="41" t="s">
        <v>1</v>
      </c>
      <c r="B4" s="3" t="s">
        <v>55</v>
      </c>
      <c r="C4" s="3" t="s">
        <v>54</v>
      </c>
      <c r="D4" s="3" t="s">
        <v>53</v>
      </c>
      <c r="E4" s="41" t="s">
        <v>1</v>
      </c>
      <c r="F4" s="3" t="s">
        <v>55</v>
      </c>
      <c r="G4" s="3" t="s">
        <v>54</v>
      </c>
      <c r="H4" s="3" t="s">
        <v>53</v>
      </c>
      <c r="I4" s="41" t="s">
        <v>1</v>
      </c>
      <c r="J4" s="3" t="s">
        <v>55</v>
      </c>
      <c r="K4" s="3" t="s">
        <v>54</v>
      </c>
      <c r="L4" s="3" t="s">
        <v>53</v>
      </c>
    </row>
    <row r="5" spans="1:12" x14ac:dyDescent="0.25">
      <c r="A5" s="41"/>
      <c r="B5" s="3">
        <v>150</v>
      </c>
      <c r="C5" s="3">
        <v>6</v>
      </c>
      <c r="D5" s="3">
        <v>70</v>
      </c>
      <c r="E5" s="41"/>
      <c r="F5" s="3">
        <v>100</v>
      </c>
      <c r="G5" s="3">
        <v>6</v>
      </c>
      <c r="H5" s="3">
        <v>60</v>
      </c>
      <c r="I5" s="41"/>
      <c r="J5" s="3">
        <v>100</v>
      </c>
      <c r="K5" s="3">
        <v>6</v>
      </c>
      <c r="L5" s="3">
        <v>60</v>
      </c>
    </row>
    <row r="6" spans="1:12" x14ac:dyDescent="0.25">
      <c r="A6" s="8" t="s">
        <v>2</v>
      </c>
      <c r="B6" s="42" t="s">
        <v>3</v>
      </c>
      <c r="C6" s="42"/>
      <c r="D6" s="42"/>
      <c r="E6" s="8" t="s">
        <v>2</v>
      </c>
      <c r="F6" s="42" t="s">
        <v>4</v>
      </c>
      <c r="G6" s="42"/>
      <c r="H6" s="42"/>
      <c r="I6" s="8" t="s">
        <v>2</v>
      </c>
      <c r="J6" s="42" t="s">
        <v>5</v>
      </c>
      <c r="K6" s="42"/>
      <c r="L6" s="42"/>
    </row>
    <row r="7" spans="1:12" x14ac:dyDescent="0.25">
      <c r="A7" s="8" t="s">
        <v>6</v>
      </c>
      <c r="B7" s="42" t="s">
        <v>18</v>
      </c>
      <c r="C7" s="42"/>
      <c r="D7" s="23" t="s">
        <v>19</v>
      </c>
      <c r="E7" s="8" t="s">
        <v>6</v>
      </c>
      <c r="F7" s="42" t="s">
        <v>18</v>
      </c>
      <c r="G7" s="42"/>
      <c r="H7" s="23" t="s">
        <v>19</v>
      </c>
      <c r="I7" s="8" t="s">
        <v>6</v>
      </c>
      <c r="J7" s="42" t="s">
        <v>18</v>
      </c>
      <c r="K7" s="42"/>
      <c r="L7" s="23" t="s">
        <v>19</v>
      </c>
    </row>
    <row r="8" spans="1:12" x14ac:dyDescent="0.25">
      <c r="A8" s="11" t="s">
        <v>20</v>
      </c>
      <c r="B8" s="43">
        <v>1.3</v>
      </c>
      <c r="C8" s="44"/>
      <c r="D8" s="6">
        <v>49</v>
      </c>
      <c r="E8" s="9" t="s">
        <v>20</v>
      </c>
      <c r="F8" s="43">
        <v>1.05</v>
      </c>
      <c r="G8" s="44"/>
      <c r="H8" s="6">
        <v>43</v>
      </c>
      <c r="I8" s="9" t="s">
        <v>20</v>
      </c>
      <c r="J8" s="43">
        <v>1.28</v>
      </c>
      <c r="K8" s="44"/>
      <c r="L8" s="6">
        <v>46</v>
      </c>
    </row>
    <row r="9" spans="1:12" x14ac:dyDescent="0.25">
      <c r="A9" s="11" t="s">
        <v>20</v>
      </c>
      <c r="B9" s="43">
        <v>1.23</v>
      </c>
      <c r="C9" s="44"/>
      <c r="D9" s="6">
        <v>47</v>
      </c>
      <c r="E9" s="9" t="s">
        <v>20</v>
      </c>
      <c r="F9" s="43">
        <v>1.33</v>
      </c>
      <c r="G9" s="44"/>
      <c r="H9" s="6">
        <v>46</v>
      </c>
      <c r="I9" s="9"/>
      <c r="J9" s="43"/>
      <c r="K9" s="44"/>
      <c r="L9" s="6"/>
    </row>
    <row r="10" spans="1:12" x14ac:dyDescent="0.25">
      <c r="A10" s="11"/>
      <c r="B10" s="43"/>
      <c r="C10" s="44"/>
      <c r="D10" s="6"/>
      <c r="E10" s="9"/>
      <c r="F10" s="43"/>
      <c r="G10" s="44"/>
      <c r="H10" s="6"/>
      <c r="I10" s="9"/>
      <c r="J10" s="43"/>
      <c r="K10" s="44"/>
      <c r="L10" s="6"/>
    </row>
    <row r="11" spans="1:12" x14ac:dyDescent="0.25">
      <c r="A11" s="11"/>
      <c r="B11" s="43"/>
      <c r="C11" s="44"/>
      <c r="D11" s="6"/>
      <c r="E11" s="9"/>
      <c r="F11" s="43"/>
      <c r="G11" s="44"/>
      <c r="H11" s="6"/>
      <c r="I11" s="9"/>
      <c r="J11" s="43"/>
      <c r="K11" s="44"/>
      <c r="L11" s="6"/>
    </row>
    <row r="12" spans="1:12" x14ac:dyDescent="0.25">
      <c r="A12" s="11"/>
      <c r="B12" s="43"/>
      <c r="C12" s="44"/>
      <c r="D12" s="6"/>
      <c r="E12" s="9"/>
      <c r="F12" s="43"/>
      <c r="G12" s="44"/>
      <c r="H12" s="6"/>
      <c r="I12" s="9"/>
      <c r="J12" s="43"/>
      <c r="K12" s="44"/>
      <c r="L12" s="6"/>
    </row>
    <row r="13" spans="1:12" x14ac:dyDescent="0.25">
      <c r="A13" s="11"/>
      <c r="B13" s="43"/>
      <c r="C13" s="44"/>
      <c r="D13" s="6"/>
      <c r="E13" s="9"/>
      <c r="F13" s="43"/>
      <c r="G13" s="44"/>
      <c r="H13" s="6"/>
      <c r="I13" s="9"/>
      <c r="J13" s="43"/>
      <c r="K13" s="44"/>
      <c r="L13" s="6"/>
    </row>
    <row r="14" spans="1:12" x14ac:dyDescent="0.25">
      <c r="A14" s="11" t="s">
        <v>22</v>
      </c>
      <c r="B14" s="43">
        <v>2.52</v>
      </c>
      <c r="C14" s="44"/>
      <c r="D14" s="6">
        <v>61</v>
      </c>
      <c r="E14" s="9"/>
      <c r="F14" s="43"/>
      <c r="G14" s="44"/>
      <c r="H14" s="6"/>
      <c r="I14" s="9"/>
      <c r="J14" s="43"/>
      <c r="K14" s="44"/>
      <c r="L14" s="6"/>
    </row>
    <row r="15" spans="1:12" x14ac:dyDescent="0.25">
      <c r="A15" s="11" t="s">
        <v>21</v>
      </c>
      <c r="B15" s="43">
        <v>1.65</v>
      </c>
      <c r="C15" s="44"/>
      <c r="D15" s="6">
        <v>70</v>
      </c>
      <c r="E15" s="9"/>
      <c r="F15" s="43"/>
      <c r="G15" s="44"/>
      <c r="H15" s="6"/>
      <c r="I15" s="9"/>
      <c r="J15" s="43"/>
      <c r="K15" s="44"/>
      <c r="L15" s="6"/>
    </row>
    <row r="16" spans="1:12" x14ac:dyDescent="0.25">
      <c r="A16" s="11"/>
      <c r="B16" s="43"/>
      <c r="C16" s="44"/>
      <c r="D16" s="21"/>
      <c r="E16" s="9"/>
      <c r="F16" s="43"/>
      <c r="G16" s="44"/>
      <c r="H16" s="6"/>
      <c r="I16" s="9"/>
      <c r="J16" s="43"/>
      <c r="K16" s="44"/>
      <c r="L16" s="6"/>
    </row>
    <row r="17" spans="1:16" x14ac:dyDescent="0.25">
      <c r="A17" s="11"/>
      <c r="B17" s="43"/>
      <c r="C17" s="44"/>
      <c r="D17" s="21"/>
      <c r="E17" s="9" t="s">
        <v>21</v>
      </c>
      <c r="F17" s="43">
        <v>0.88</v>
      </c>
      <c r="G17" s="44"/>
      <c r="H17" s="6">
        <v>48</v>
      </c>
      <c r="I17" s="9"/>
      <c r="J17" s="43"/>
      <c r="K17" s="44"/>
      <c r="L17" s="6"/>
    </row>
    <row r="18" spans="1:16" x14ac:dyDescent="0.25">
      <c r="A18" s="8" t="s">
        <v>23</v>
      </c>
      <c r="B18" s="47">
        <f>SUM(B8:C17)</f>
        <v>6.7000000000000011</v>
      </c>
      <c r="C18" s="48"/>
      <c r="D18" s="25"/>
      <c r="E18" s="8" t="s">
        <v>23</v>
      </c>
      <c r="F18" s="47">
        <f>SUM(F8:G17)</f>
        <v>3.26</v>
      </c>
      <c r="G18" s="48"/>
      <c r="H18" s="25"/>
      <c r="I18" s="8" t="s">
        <v>23</v>
      </c>
      <c r="J18" s="47">
        <f>SUM(J8:K17)</f>
        <v>1.28</v>
      </c>
      <c r="K18" s="48"/>
      <c r="L18" s="25"/>
    </row>
    <row r="19" spans="1:16" x14ac:dyDescent="0.25">
      <c r="A19" s="49">
        <f>+B18+F18+J18</f>
        <v>11.24</v>
      </c>
      <c r="B19" s="49"/>
      <c r="C19" s="49"/>
      <c r="D19" s="49"/>
      <c r="E19" s="49"/>
      <c r="F19" s="49"/>
      <c r="G19" s="49"/>
      <c r="H19" s="49"/>
      <c r="I19" s="49"/>
      <c r="J19" s="49"/>
      <c r="K19" s="49"/>
      <c r="L19" s="49"/>
    </row>
    <row r="20" spans="1:16" x14ac:dyDescent="0.25">
      <c r="A20" s="14"/>
      <c r="B20" s="5"/>
      <c r="C20" s="5"/>
      <c r="D20" s="5"/>
      <c r="E20" s="5"/>
      <c r="F20" s="5"/>
      <c r="G20" s="5"/>
      <c r="H20" s="5"/>
      <c r="I20" s="5"/>
      <c r="J20" s="5"/>
      <c r="K20" s="5"/>
      <c r="L20" s="5"/>
    </row>
    <row r="21" spans="1:16" x14ac:dyDescent="0.25">
      <c r="A21" s="38" t="s">
        <v>70</v>
      </c>
      <c r="B21" s="45" t="s">
        <v>0</v>
      </c>
      <c r="C21" s="45"/>
      <c r="D21" s="45"/>
      <c r="E21" s="2" t="str">
        <f>+A21</f>
        <v>23.06.2021</v>
      </c>
      <c r="F21" s="45" t="s">
        <v>76</v>
      </c>
      <c r="G21" s="45"/>
      <c r="H21" s="45"/>
      <c r="I21" s="2" t="str">
        <f>+A21</f>
        <v>23.06.2021</v>
      </c>
      <c r="J21" s="45" t="s">
        <v>77</v>
      </c>
      <c r="K21" s="45"/>
      <c r="L21" s="45"/>
    </row>
    <row r="22" spans="1:16" x14ac:dyDescent="0.25">
      <c r="A22" s="41" t="s">
        <v>1</v>
      </c>
      <c r="B22" s="3" t="s">
        <v>55</v>
      </c>
      <c r="C22" s="3" t="s">
        <v>54</v>
      </c>
      <c r="D22" s="3" t="s">
        <v>53</v>
      </c>
      <c r="E22" s="41" t="s">
        <v>1</v>
      </c>
      <c r="F22" s="3" t="s">
        <v>55</v>
      </c>
      <c r="G22" s="3" t="s">
        <v>54</v>
      </c>
      <c r="H22" s="3" t="s">
        <v>53</v>
      </c>
      <c r="I22" s="41" t="s">
        <v>1</v>
      </c>
      <c r="J22" s="3" t="s">
        <v>55</v>
      </c>
      <c r="K22" s="3" t="s">
        <v>54</v>
      </c>
      <c r="L22" s="3" t="s">
        <v>53</v>
      </c>
    </row>
    <row r="23" spans="1:16" x14ac:dyDescent="0.25">
      <c r="A23" s="41"/>
      <c r="B23" s="3">
        <v>150</v>
      </c>
      <c r="C23" s="3">
        <v>6</v>
      </c>
      <c r="D23" s="3">
        <v>70</v>
      </c>
      <c r="E23" s="41"/>
      <c r="F23" s="3">
        <v>100</v>
      </c>
      <c r="G23" s="3">
        <v>6</v>
      </c>
      <c r="H23" s="3">
        <v>60</v>
      </c>
      <c r="I23" s="41"/>
      <c r="J23" s="3">
        <v>100</v>
      </c>
      <c r="K23" s="3">
        <v>6</v>
      </c>
      <c r="L23" s="3">
        <v>60</v>
      </c>
    </row>
    <row r="24" spans="1:16" x14ac:dyDescent="0.25">
      <c r="A24" s="4" t="s">
        <v>2</v>
      </c>
      <c r="B24" s="42" t="s">
        <v>7</v>
      </c>
      <c r="C24" s="42"/>
      <c r="D24" s="42"/>
      <c r="E24" s="8" t="s">
        <v>2</v>
      </c>
      <c r="F24" s="42" t="s">
        <v>8</v>
      </c>
      <c r="G24" s="42"/>
      <c r="H24" s="42"/>
      <c r="I24" s="8" t="s">
        <v>2</v>
      </c>
      <c r="J24" s="42" t="s">
        <v>9</v>
      </c>
      <c r="K24" s="42"/>
      <c r="L24" s="42"/>
    </row>
    <row r="25" spans="1:16" x14ac:dyDescent="0.25">
      <c r="A25" s="8" t="s">
        <v>6</v>
      </c>
      <c r="B25" s="42" t="s">
        <v>18</v>
      </c>
      <c r="C25" s="42"/>
      <c r="D25" s="23" t="s">
        <v>19</v>
      </c>
      <c r="E25" s="8" t="s">
        <v>6</v>
      </c>
      <c r="F25" s="42" t="s">
        <v>18</v>
      </c>
      <c r="G25" s="42"/>
      <c r="H25" s="23" t="s">
        <v>19</v>
      </c>
      <c r="I25" s="8" t="s">
        <v>6</v>
      </c>
      <c r="J25" s="42" t="s">
        <v>18</v>
      </c>
      <c r="K25" s="42"/>
      <c r="L25" s="23" t="s">
        <v>19</v>
      </c>
    </row>
    <row r="26" spans="1:16" x14ac:dyDescent="0.25">
      <c r="A26" s="11" t="s">
        <v>20</v>
      </c>
      <c r="B26" s="46">
        <v>1.08</v>
      </c>
      <c r="C26" s="46"/>
      <c r="D26" s="22">
        <v>45</v>
      </c>
      <c r="E26" s="9" t="s">
        <v>20</v>
      </c>
      <c r="F26" s="43">
        <v>1.54</v>
      </c>
      <c r="G26" s="44"/>
      <c r="H26" s="6">
        <v>48</v>
      </c>
      <c r="I26" s="9" t="s">
        <v>20</v>
      </c>
      <c r="J26" s="43">
        <v>1.1100000000000001</v>
      </c>
      <c r="K26" s="44"/>
      <c r="L26" s="6">
        <v>43</v>
      </c>
    </row>
    <row r="27" spans="1:16" x14ac:dyDescent="0.25">
      <c r="A27" s="11" t="s">
        <v>20</v>
      </c>
      <c r="B27" s="43">
        <v>1.36</v>
      </c>
      <c r="C27" s="43"/>
      <c r="D27" s="6">
        <v>47</v>
      </c>
      <c r="E27" s="9" t="s">
        <v>20</v>
      </c>
      <c r="F27" s="43">
        <v>1.31</v>
      </c>
      <c r="G27" s="43"/>
      <c r="H27" s="6">
        <v>46</v>
      </c>
      <c r="I27" s="9" t="s">
        <v>20</v>
      </c>
      <c r="J27" s="43">
        <v>1.79</v>
      </c>
      <c r="K27" s="43"/>
      <c r="L27" s="6">
        <v>51</v>
      </c>
    </row>
    <row r="28" spans="1:16" x14ac:dyDescent="0.25">
      <c r="A28" s="11" t="s">
        <v>61</v>
      </c>
      <c r="B28" s="43">
        <v>0.2</v>
      </c>
      <c r="C28" s="43"/>
      <c r="D28" s="6">
        <v>22</v>
      </c>
      <c r="E28" s="9" t="s">
        <v>63</v>
      </c>
      <c r="F28" s="43">
        <v>0.6</v>
      </c>
      <c r="G28" s="43"/>
      <c r="H28" s="6">
        <v>30</v>
      </c>
      <c r="I28" s="9"/>
      <c r="J28" s="43"/>
      <c r="K28" s="43"/>
      <c r="L28" s="6"/>
    </row>
    <row r="29" spans="1:16" x14ac:dyDescent="0.25">
      <c r="A29" s="11" t="s">
        <v>22</v>
      </c>
      <c r="B29" s="43">
        <v>2.61</v>
      </c>
      <c r="C29" s="43"/>
      <c r="D29" s="6">
        <v>64</v>
      </c>
      <c r="E29" s="9"/>
      <c r="F29" s="43"/>
      <c r="G29" s="43"/>
      <c r="H29" s="6"/>
      <c r="I29" s="9"/>
      <c r="J29" s="43"/>
      <c r="K29" s="43"/>
      <c r="L29" s="6"/>
    </row>
    <row r="30" spans="1:16" x14ac:dyDescent="0.25">
      <c r="A30" s="11" t="s">
        <v>21</v>
      </c>
      <c r="B30" s="43">
        <v>2.7</v>
      </c>
      <c r="C30" s="43"/>
      <c r="D30" s="6">
        <v>75</v>
      </c>
      <c r="E30" s="9"/>
      <c r="F30" s="43"/>
      <c r="G30" s="43"/>
      <c r="H30" s="6"/>
      <c r="I30" s="9" t="s">
        <v>21</v>
      </c>
      <c r="J30" s="43">
        <v>1.83</v>
      </c>
      <c r="K30" s="43"/>
      <c r="L30" s="6">
        <v>72</v>
      </c>
    </row>
    <row r="31" spans="1:16" x14ac:dyDescent="0.25">
      <c r="A31" s="11"/>
      <c r="B31" s="43"/>
      <c r="C31" s="43"/>
      <c r="D31" s="6"/>
      <c r="E31" s="9"/>
      <c r="F31" s="43"/>
      <c r="G31" s="44"/>
      <c r="H31" s="6"/>
      <c r="I31" s="9"/>
      <c r="J31" s="43"/>
      <c r="K31" s="44"/>
      <c r="L31" s="6"/>
      <c r="P31" s="32" t="s">
        <v>61</v>
      </c>
    </row>
    <row r="32" spans="1:16" x14ac:dyDescent="0.25">
      <c r="A32" s="11"/>
      <c r="B32" s="43"/>
      <c r="C32" s="43"/>
      <c r="D32" s="6"/>
      <c r="E32" s="9"/>
      <c r="F32" s="43"/>
      <c r="G32" s="44"/>
      <c r="H32" s="6"/>
      <c r="I32" s="9"/>
      <c r="J32" s="43"/>
      <c r="K32" s="44"/>
      <c r="L32" s="6"/>
      <c r="P32" s="34" t="s">
        <v>63</v>
      </c>
    </row>
    <row r="33" spans="1:16" x14ac:dyDescent="0.25">
      <c r="A33" s="11"/>
      <c r="B33" s="43"/>
      <c r="C33" s="43"/>
      <c r="D33" s="6"/>
      <c r="E33" s="9"/>
      <c r="F33" s="43"/>
      <c r="G33" s="44"/>
      <c r="H33" s="6"/>
      <c r="I33" s="9"/>
      <c r="J33" s="43"/>
      <c r="K33" s="44"/>
      <c r="L33" s="6"/>
      <c r="P33" s="34" t="s">
        <v>65</v>
      </c>
    </row>
    <row r="34" spans="1:16" x14ac:dyDescent="0.25">
      <c r="A34" s="11"/>
      <c r="B34" s="43"/>
      <c r="C34" s="43"/>
      <c r="D34" s="6"/>
      <c r="E34" s="9"/>
      <c r="F34" s="43"/>
      <c r="G34" s="44"/>
      <c r="H34" s="6"/>
      <c r="I34" s="9"/>
      <c r="J34" s="43"/>
      <c r="K34" s="44"/>
      <c r="L34" s="6"/>
    </row>
    <row r="35" spans="1:16" x14ac:dyDescent="0.25">
      <c r="A35" s="11"/>
      <c r="B35" s="46"/>
      <c r="C35" s="46"/>
      <c r="D35" s="7"/>
      <c r="E35" s="9"/>
      <c r="F35" s="43"/>
      <c r="G35" s="44"/>
      <c r="H35" s="6"/>
      <c r="I35" s="9"/>
      <c r="J35" s="43"/>
      <c r="K35" s="44"/>
      <c r="L35" s="6"/>
    </row>
    <row r="36" spans="1:16" x14ac:dyDescent="0.25">
      <c r="A36" s="8" t="s">
        <v>23</v>
      </c>
      <c r="B36" s="50">
        <f>+SUM(B26:B35)</f>
        <v>7.95</v>
      </c>
      <c r="C36" s="50"/>
      <c r="D36" s="24"/>
      <c r="E36" s="8" t="s">
        <v>23</v>
      </c>
      <c r="F36" s="47">
        <f>SUM(F26:G35)</f>
        <v>3.45</v>
      </c>
      <c r="G36" s="48"/>
      <c r="H36" s="25"/>
      <c r="I36" s="8" t="s">
        <v>23</v>
      </c>
      <c r="J36" s="47">
        <f>SUM(J26:K35)</f>
        <v>4.7300000000000004</v>
      </c>
      <c r="K36" s="48"/>
      <c r="L36" s="25"/>
    </row>
    <row r="37" spans="1:16" x14ac:dyDescent="0.25">
      <c r="A37" s="49">
        <f>+B36+F36+J36</f>
        <v>16.130000000000003</v>
      </c>
      <c r="B37" s="49"/>
      <c r="C37" s="49"/>
      <c r="D37" s="49"/>
      <c r="E37" s="49"/>
      <c r="F37" s="49"/>
      <c r="G37" s="49"/>
      <c r="H37" s="49"/>
      <c r="I37" s="49"/>
      <c r="J37" s="49"/>
      <c r="K37" s="49"/>
      <c r="L37" s="49"/>
    </row>
    <row r="38" spans="1:16" x14ac:dyDescent="0.25">
      <c r="A38" s="11"/>
      <c r="B38" s="12"/>
      <c r="C38" s="7"/>
      <c r="D38" s="7"/>
      <c r="E38" s="10"/>
      <c r="F38" s="12"/>
      <c r="G38" s="7"/>
      <c r="H38" s="11"/>
      <c r="I38" s="12"/>
      <c r="J38" s="7"/>
      <c r="K38" s="7"/>
      <c r="L38" s="7"/>
    </row>
    <row r="39" spans="1:16" x14ac:dyDescent="0.25">
      <c r="A39" s="38" t="s">
        <v>71</v>
      </c>
      <c r="B39" s="45" t="s">
        <v>0</v>
      </c>
      <c r="C39" s="45"/>
      <c r="D39" s="45"/>
      <c r="E39" s="2" t="str">
        <f>+A39</f>
        <v>24.06.2021</v>
      </c>
      <c r="F39" s="45" t="s">
        <v>76</v>
      </c>
      <c r="G39" s="45"/>
      <c r="H39" s="45"/>
      <c r="I39" s="2" t="str">
        <f>+A39</f>
        <v>24.06.2021</v>
      </c>
      <c r="J39" s="45" t="s">
        <v>77</v>
      </c>
      <c r="K39" s="45"/>
      <c r="L39" s="45"/>
    </row>
    <row r="40" spans="1:16" x14ac:dyDescent="0.25">
      <c r="A40" s="41" t="s">
        <v>1</v>
      </c>
      <c r="B40" s="3" t="s">
        <v>55</v>
      </c>
      <c r="C40" s="3" t="s">
        <v>54</v>
      </c>
      <c r="D40" s="3" t="s">
        <v>53</v>
      </c>
      <c r="E40" s="41" t="s">
        <v>1</v>
      </c>
      <c r="F40" s="3" t="s">
        <v>55</v>
      </c>
      <c r="G40" s="3" t="s">
        <v>54</v>
      </c>
      <c r="H40" s="3" t="s">
        <v>53</v>
      </c>
      <c r="I40" s="41" t="s">
        <v>1</v>
      </c>
      <c r="J40" s="3" t="s">
        <v>55</v>
      </c>
      <c r="K40" s="3" t="s">
        <v>54</v>
      </c>
      <c r="L40" s="3" t="s">
        <v>53</v>
      </c>
    </row>
    <row r="41" spans="1:16" x14ac:dyDescent="0.25">
      <c r="A41" s="41"/>
      <c r="B41" s="3">
        <v>150</v>
      </c>
      <c r="C41" s="3">
        <v>6</v>
      </c>
      <c r="D41" s="3">
        <v>70</v>
      </c>
      <c r="E41" s="41"/>
      <c r="F41" s="3">
        <v>100</v>
      </c>
      <c r="G41" s="3">
        <v>6</v>
      </c>
      <c r="H41" s="3">
        <v>60</v>
      </c>
      <c r="I41" s="41"/>
      <c r="J41" s="3">
        <v>100</v>
      </c>
      <c r="K41" s="3">
        <v>6</v>
      </c>
      <c r="L41" s="3">
        <v>60</v>
      </c>
    </row>
    <row r="42" spans="1:16" x14ac:dyDescent="0.25">
      <c r="A42" s="4" t="s">
        <v>2</v>
      </c>
      <c r="B42" s="42" t="s">
        <v>10</v>
      </c>
      <c r="C42" s="42"/>
      <c r="D42" s="42"/>
      <c r="E42" s="8" t="s">
        <v>2</v>
      </c>
      <c r="F42" s="42" t="s">
        <v>11</v>
      </c>
      <c r="G42" s="42"/>
      <c r="H42" s="42"/>
      <c r="I42" s="8" t="s">
        <v>2</v>
      </c>
      <c r="J42" s="42" t="s">
        <v>12</v>
      </c>
      <c r="K42" s="42"/>
      <c r="L42" s="42"/>
    </row>
    <row r="43" spans="1:16" x14ac:dyDescent="0.25">
      <c r="A43" s="8" t="s">
        <v>6</v>
      </c>
      <c r="B43" s="42" t="s">
        <v>18</v>
      </c>
      <c r="C43" s="42"/>
      <c r="D43" s="23" t="s">
        <v>19</v>
      </c>
      <c r="E43" s="8" t="s">
        <v>6</v>
      </c>
      <c r="F43" s="42" t="s">
        <v>18</v>
      </c>
      <c r="G43" s="42"/>
      <c r="H43" s="23" t="s">
        <v>19</v>
      </c>
      <c r="I43" s="8" t="s">
        <v>6</v>
      </c>
      <c r="J43" s="42" t="s">
        <v>18</v>
      </c>
      <c r="K43" s="42"/>
      <c r="L43" s="23" t="s">
        <v>19</v>
      </c>
    </row>
    <row r="44" spans="1:16" x14ac:dyDescent="0.25">
      <c r="A44" s="11" t="s">
        <v>20</v>
      </c>
      <c r="B44" s="46">
        <v>1.52</v>
      </c>
      <c r="C44" s="46"/>
      <c r="D44" s="22">
        <v>48</v>
      </c>
      <c r="E44" s="9" t="s">
        <v>20</v>
      </c>
      <c r="F44" s="43">
        <v>1.34</v>
      </c>
      <c r="G44" s="44"/>
      <c r="H44" s="6">
        <v>48</v>
      </c>
      <c r="I44" s="9" t="s">
        <v>20</v>
      </c>
      <c r="J44" s="43">
        <v>1.25</v>
      </c>
      <c r="K44" s="44"/>
      <c r="L44" s="6">
        <v>43</v>
      </c>
    </row>
    <row r="45" spans="1:16" x14ac:dyDescent="0.25">
      <c r="A45" s="11" t="s">
        <v>20</v>
      </c>
      <c r="B45" s="46">
        <v>1.31</v>
      </c>
      <c r="C45" s="46"/>
      <c r="D45" s="22">
        <v>47</v>
      </c>
      <c r="E45" s="9" t="s">
        <v>20</v>
      </c>
      <c r="F45" s="43">
        <v>1.31</v>
      </c>
      <c r="G45" s="43"/>
      <c r="H45" s="6">
        <v>47</v>
      </c>
      <c r="I45" s="9" t="s">
        <v>20</v>
      </c>
      <c r="J45" s="43">
        <v>1.67</v>
      </c>
      <c r="K45" s="44"/>
      <c r="L45" s="6">
        <v>49</v>
      </c>
    </row>
    <row r="46" spans="1:16" x14ac:dyDescent="0.25">
      <c r="A46" s="11"/>
      <c r="B46" s="46"/>
      <c r="C46" s="46"/>
      <c r="D46" s="22"/>
      <c r="E46" s="9"/>
      <c r="F46" s="43"/>
      <c r="G46" s="43"/>
      <c r="H46" s="6"/>
      <c r="I46" s="9"/>
      <c r="J46" s="43"/>
      <c r="K46" s="44"/>
      <c r="L46" s="6"/>
    </row>
    <row r="47" spans="1:16" x14ac:dyDescent="0.25">
      <c r="A47" s="11"/>
      <c r="B47" s="46"/>
      <c r="C47" s="46"/>
      <c r="D47" s="22"/>
      <c r="E47" s="9" t="s">
        <v>22</v>
      </c>
      <c r="F47" s="43">
        <v>2.4</v>
      </c>
      <c r="G47" s="43"/>
      <c r="H47" s="6">
        <v>63</v>
      </c>
      <c r="I47" s="9"/>
      <c r="J47" s="43"/>
      <c r="K47" s="44"/>
      <c r="L47" s="6"/>
    </row>
    <row r="48" spans="1:16" x14ac:dyDescent="0.25">
      <c r="A48" s="11"/>
      <c r="B48" s="46"/>
      <c r="C48" s="46"/>
      <c r="D48" s="22"/>
      <c r="E48" s="9"/>
      <c r="F48" s="43"/>
      <c r="G48" s="44"/>
      <c r="H48" s="6"/>
      <c r="I48" s="9"/>
      <c r="J48" s="43"/>
      <c r="K48" s="44"/>
      <c r="L48" s="6"/>
    </row>
    <row r="49" spans="1:12" x14ac:dyDescent="0.25">
      <c r="A49" s="11" t="s">
        <v>21</v>
      </c>
      <c r="B49" s="46">
        <v>2.1</v>
      </c>
      <c r="C49" s="46"/>
      <c r="D49" s="22">
        <v>71</v>
      </c>
      <c r="E49" s="9"/>
      <c r="F49" s="43"/>
      <c r="G49" s="44"/>
      <c r="H49" s="6"/>
      <c r="I49" s="9" t="s">
        <v>21</v>
      </c>
      <c r="J49" s="43">
        <v>2.99</v>
      </c>
      <c r="K49" s="44"/>
      <c r="L49" s="6">
        <v>76</v>
      </c>
    </row>
    <row r="50" spans="1:12" x14ac:dyDescent="0.25">
      <c r="A50" s="11"/>
      <c r="B50" s="46"/>
      <c r="C50" s="46"/>
      <c r="D50" s="22"/>
      <c r="E50" s="9"/>
      <c r="F50" s="43"/>
      <c r="G50" s="44"/>
      <c r="H50" s="6"/>
      <c r="I50" s="9"/>
      <c r="J50" s="43"/>
      <c r="K50" s="44"/>
      <c r="L50" s="6"/>
    </row>
    <row r="51" spans="1:12" x14ac:dyDescent="0.25">
      <c r="A51" s="11"/>
      <c r="B51" s="46"/>
      <c r="C51" s="46"/>
      <c r="D51" s="22"/>
      <c r="E51" s="9"/>
      <c r="F51" s="43"/>
      <c r="G51" s="44"/>
      <c r="H51" s="6"/>
      <c r="I51" s="9"/>
      <c r="J51" s="43"/>
      <c r="K51" s="44"/>
      <c r="L51" s="6"/>
    </row>
    <row r="52" spans="1:12" x14ac:dyDescent="0.25">
      <c r="A52" s="11"/>
      <c r="B52" s="46"/>
      <c r="C52" s="46"/>
      <c r="D52" s="22"/>
      <c r="E52" s="9"/>
      <c r="F52" s="43"/>
      <c r="G52" s="44"/>
      <c r="H52" s="6"/>
      <c r="I52" s="9"/>
      <c r="J52" s="43"/>
      <c r="K52" s="44"/>
      <c r="L52" s="6"/>
    </row>
    <row r="53" spans="1:12" x14ac:dyDescent="0.25">
      <c r="A53" s="11"/>
      <c r="B53" s="46"/>
      <c r="C53" s="46"/>
      <c r="D53" s="22"/>
      <c r="E53" s="9"/>
      <c r="F53" s="43"/>
      <c r="G53" s="44"/>
      <c r="H53" s="6"/>
      <c r="I53" s="9"/>
      <c r="J53" s="43"/>
      <c r="K53" s="44"/>
      <c r="L53" s="6"/>
    </row>
    <row r="54" spans="1:12" x14ac:dyDescent="0.25">
      <c r="A54" s="8" t="s">
        <v>23</v>
      </c>
      <c r="B54" s="50">
        <f>+SUM(B44:B53)</f>
        <v>4.93</v>
      </c>
      <c r="C54" s="50"/>
      <c r="D54" s="24"/>
      <c r="E54" s="8" t="s">
        <v>23</v>
      </c>
      <c r="F54" s="47">
        <f>SUM(F44:G53)</f>
        <v>5.0500000000000007</v>
      </c>
      <c r="G54" s="48"/>
      <c r="H54" s="25"/>
      <c r="I54" s="8" t="s">
        <v>23</v>
      </c>
      <c r="J54" s="47">
        <f>SUM(J44:K53)</f>
        <v>5.91</v>
      </c>
      <c r="K54" s="48"/>
      <c r="L54" s="25"/>
    </row>
    <row r="55" spans="1:12" x14ac:dyDescent="0.25">
      <c r="A55" s="49">
        <f>+B54+F54+J54</f>
        <v>15.89</v>
      </c>
      <c r="B55" s="49"/>
      <c r="C55" s="49"/>
      <c r="D55" s="49"/>
      <c r="E55" s="49"/>
      <c r="F55" s="49"/>
      <c r="G55" s="49"/>
      <c r="H55" s="49"/>
      <c r="I55" s="49"/>
      <c r="J55" s="49"/>
      <c r="K55" s="49"/>
      <c r="L55" s="49"/>
    </row>
    <row r="56" spans="1:12" x14ac:dyDescent="0.25">
      <c r="A56" s="11"/>
      <c r="B56" s="12"/>
      <c r="C56" s="7"/>
      <c r="D56" s="7"/>
      <c r="E56" s="10"/>
      <c r="F56" s="12"/>
      <c r="G56" s="7"/>
      <c r="H56" s="11"/>
      <c r="I56" s="12"/>
      <c r="J56" s="7"/>
      <c r="K56" s="7"/>
      <c r="L56" s="7"/>
    </row>
    <row r="57" spans="1:12" x14ac:dyDescent="0.25">
      <c r="A57" s="1" t="s">
        <v>14</v>
      </c>
      <c r="H57" s="11"/>
    </row>
    <row r="58" spans="1:12" x14ac:dyDescent="0.25">
      <c r="A58" s="1" t="s">
        <v>15</v>
      </c>
      <c r="H58" s="11"/>
    </row>
    <row r="59" spans="1:12" x14ac:dyDescent="0.25">
      <c r="A59" s="1" t="s">
        <v>16</v>
      </c>
      <c r="H59" s="11"/>
    </row>
    <row r="60" spans="1:12" x14ac:dyDescent="0.25">
      <c r="A60" s="1" t="s">
        <v>17</v>
      </c>
      <c r="H60" s="11"/>
    </row>
    <row r="61" spans="1:12" x14ac:dyDescent="0.25">
      <c r="H61" s="11"/>
    </row>
    <row r="62" spans="1:12" x14ac:dyDescent="0.25">
      <c r="H62" s="11"/>
    </row>
    <row r="63" spans="1:12" x14ac:dyDescent="0.25">
      <c r="H63" s="11"/>
    </row>
    <row r="64" spans="1:12" x14ac:dyDescent="0.25">
      <c r="H64" s="11"/>
    </row>
    <row r="65" spans="8:8" x14ac:dyDescent="0.25">
      <c r="H65" s="11"/>
    </row>
  </sheetData>
  <mergeCells count="139">
    <mergeCell ref="B54:C54"/>
    <mergeCell ref="F54:G54"/>
    <mergeCell ref="J54:K54"/>
    <mergeCell ref="A55:L55"/>
    <mergeCell ref="B52:C52"/>
    <mergeCell ref="F52:G52"/>
    <mergeCell ref="J52:K52"/>
    <mergeCell ref="B53:C53"/>
    <mergeCell ref="F53:G53"/>
    <mergeCell ref="J53:K53"/>
    <mergeCell ref="B50:C50"/>
    <mergeCell ref="F50:G50"/>
    <mergeCell ref="J50:K50"/>
    <mergeCell ref="B51:C51"/>
    <mergeCell ref="F51:G51"/>
    <mergeCell ref="J51:K51"/>
    <mergeCell ref="B48:C48"/>
    <mergeCell ref="F48:G48"/>
    <mergeCell ref="J48:K48"/>
    <mergeCell ref="B49:C49"/>
    <mergeCell ref="F49:G49"/>
    <mergeCell ref="J49:K49"/>
    <mergeCell ref="B46:C46"/>
    <mergeCell ref="F46:G46"/>
    <mergeCell ref="J46:K46"/>
    <mergeCell ref="B47:C47"/>
    <mergeCell ref="F47:G47"/>
    <mergeCell ref="J47:K47"/>
    <mergeCell ref="B44:C44"/>
    <mergeCell ref="F44:G44"/>
    <mergeCell ref="J44:K44"/>
    <mergeCell ref="B45:C45"/>
    <mergeCell ref="F45:G45"/>
    <mergeCell ref="J45:K45"/>
    <mergeCell ref="B42:D42"/>
    <mergeCell ref="F42:H42"/>
    <mergeCell ref="J42:L42"/>
    <mergeCell ref="B43:C43"/>
    <mergeCell ref="F43:G43"/>
    <mergeCell ref="J43:K43"/>
    <mergeCell ref="B39:D39"/>
    <mergeCell ref="F39:H39"/>
    <mergeCell ref="J39:L39"/>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F29:G29"/>
    <mergeCell ref="J29:K29"/>
    <mergeCell ref="F30:G30"/>
    <mergeCell ref="J30:K30"/>
    <mergeCell ref="F31:G31"/>
    <mergeCell ref="J31:K31"/>
    <mergeCell ref="J26:K26"/>
    <mergeCell ref="F27:G27"/>
    <mergeCell ref="J27:K27"/>
    <mergeCell ref="F28:G28"/>
    <mergeCell ref="J28:K28"/>
    <mergeCell ref="F26:G2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J13:K13"/>
    <mergeCell ref="J14:K14"/>
    <mergeCell ref="J15:K15"/>
    <mergeCell ref="J16:K16"/>
    <mergeCell ref="F12:G12"/>
    <mergeCell ref="F13:G13"/>
    <mergeCell ref="F14:G14"/>
    <mergeCell ref="F15:G15"/>
    <mergeCell ref="F16:G16"/>
    <mergeCell ref="B24:D24"/>
    <mergeCell ref="B25:C25"/>
    <mergeCell ref="B26:C26"/>
    <mergeCell ref="F7:G7"/>
    <mergeCell ref="F8:G8"/>
    <mergeCell ref="F9:G9"/>
    <mergeCell ref="F10:G10"/>
    <mergeCell ref="F11:G11"/>
    <mergeCell ref="B16:C16"/>
    <mergeCell ref="B17:C17"/>
    <mergeCell ref="B18:C18"/>
    <mergeCell ref="E22:E23"/>
    <mergeCell ref="B27:C27"/>
    <mergeCell ref="B28:C28"/>
    <mergeCell ref="B29:C29"/>
    <mergeCell ref="B30:C30"/>
    <mergeCell ref="B31:C31"/>
    <mergeCell ref="B32:C32"/>
    <mergeCell ref="B33:C33"/>
    <mergeCell ref="B34:C34"/>
    <mergeCell ref="B35:C35"/>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9"/>
  <sheetViews>
    <sheetView topLeftCell="A31" zoomScaleNormal="100" workbookViewId="0">
      <selection activeCell="E37" sqref="E37"/>
    </sheetView>
  </sheetViews>
  <sheetFormatPr defaultColWidth="9.140625" defaultRowHeight="15" x14ac:dyDescent="0.25"/>
  <cols>
    <col min="1" max="1" width="10" style="15" customWidth="1"/>
    <col min="2" max="2" width="15" style="15" customWidth="1"/>
    <col min="3" max="3" width="13.7109375" style="15" customWidth="1"/>
    <col min="4" max="4" width="12.140625" style="15" customWidth="1"/>
    <col min="5" max="5" width="11.85546875" style="15" customWidth="1"/>
    <col min="6" max="6" width="10.140625" style="15" bestFit="1" customWidth="1"/>
    <col min="7" max="9" width="11.85546875" style="15" customWidth="1"/>
    <col min="10" max="12" width="12.85546875" style="15" customWidth="1"/>
    <col min="13" max="14" width="9.28515625" style="15" bestFit="1" customWidth="1"/>
    <col min="15" max="15" width="14.28515625" style="15" customWidth="1"/>
    <col min="16" max="20" width="14" style="15" bestFit="1" customWidth="1"/>
    <col min="21" max="21" width="16.7109375" style="15" customWidth="1"/>
    <col min="22" max="16384" width="9.140625" style="15"/>
  </cols>
  <sheetData>
    <row r="1" spans="1:20" x14ac:dyDescent="0.25">
      <c r="B1" s="51" t="s">
        <v>42</v>
      </c>
      <c r="C1" s="51"/>
      <c r="D1" s="51"/>
      <c r="E1" s="51" t="s">
        <v>58</v>
      </c>
      <c r="F1" s="51"/>
      <c r="G1" s="51"/>
      <c r="H1" s="31">
        <f>+I1/1000000</f>
        <v>20</v>
      </c>
      <c r="I1" s="52">
        <f>+C2+C3+C4</f>
        <v>20000000</v>
      </c>
      <c r="J1" s="52"/>
    </row>
    <row r="2" spans="1:20" x14ac:dyDescent="0.25">
      <c r="A2" s="15" t="s">
        <v>43</v>
      </c>
      <c r="B2" s="28">
        <v>7</v>
      </c>
      <c r="C2" s="52">
        <f>+B2*1000000</f>
        <v>7000000</v>
      </c>
      <c r="D2" s="52"/>
      <c r="E2" s="51" t="s">
        <v>24</v>
      </c>
      <c r="F2" s="51"/>
      <c r="G2" s="51"/>
      <c r="H2" s="53">
        <v>200</v>
      </c>
      <c r="I2" s="53"/>
    </row>
    <row r="3" spans="1:20" ht="15" customHeight="1" x14ac:dyDescent="0.25">
      <c r="A3" s="15" t="s">
        <v>45</v>
      </c>
      <c r="B3" s="28">
        <v>7</v>
      </c>
      <c r="C3" s="52">
        <f t="shared" ref="C3:C4" si="0">+B3*1000000</f>
        <v>7000000</v>
      </c>
      <c r="D3" s="52"/>
      <c r="E3" s="51" t="s">
        <v>25</v>
      </c>
      <c r="F3" s="51"/>
      <c r="G3" s="51"/>
      <c r="H3" s="53" t="str">
        <f>+CONCATENATE(B35,",",B36,",",B37,",",B38,",",B39,",",B40," ,",B41," ","vs.")</f>
        <v>C.carpio,S. glanis,S. lucioperca,Capoeta sp.,S.cephalus,Barbus sp. ,P.marmoratus vs.</v>
      </c>
      <c r="I3" s="53"/>
      <c r="J3" s="53"/>
      <c r="K3" s="53"/>
      <c r="L3" s="53"/>
      <c r="P3" s="20"/>
      <c r="Q3" s="20"/>
      <c r="R3" s="20"/>
      <c r="S3" s="20"/>
      <c r="T3" s="20"/>
    </row>
    <row r="4" spans="1:20" x14ac:dyDescent="0.25">
      <c r="A4" s="15" t="s">
        <v>47</v>
      </c>
      <c r="B4" s="28">
        <v>6</v>
      </c>
      <c r="C4" s="52">
        <f t="shared" si="0"/>
        <v>6000000</v>
      </c>
      <c r="D4" s="52"/>
      <c r="H4" s="53"/>
      <c r="I4" s="53"/>
      <c r="J4" s="53"/>
      <c r="K4" s="53"/>
      <c r="L4" s="53"/>
    </row>
    <row r="5" spans="1:20" ht="30" customHeight="1" x14ac:dyDescent="0.25"/>
    <row r="6" spans="1:20" ht="29.25" customHeight="1" x14ac:dyDescent="0.25">
      <c r="A6" s="15" t="s">
        <v>29</v>
      </c>
      <c r="B6" s="15" t="s">
        <v>30</v>
      </c>
      <c r="C6" s="15" t="s">
        <v>31</v>
      </c>
      <c r="D6" s="15" t="s">
        <v>32</v>
      </c>
      <c r="E6" s="15" t="s">
        <v>33</v>
      </c>
      <c r="F6" s="15" t="s">
        <v>34</v>
      </c>
      <c r="G6" s="15" t="s">
        <v>35</v>
      </c>
    </row>
    <row r="7" spans="1:20" x14ac:dyDescent="0.25">
      <c r="A7" s="15">
        <v>1</v>
      </c>
      <c r="B7" s="15">
        <f>+Sayfa2!D5</f>
        <v>70</v>
      </c>
      <c r="C7" s="15">
        <f>+Sayfa2!B5</f>
        <v>150</v>
      </c>
      <c r="E7" s="15">
        <f>+Sayfa2!C5</f>
        <v>6</v>
      </c>
      <c r="F7" s="15">
        <f>C7*E7</f>
        <v>900</v>
      </c>
      <c r="G7" s="51">
        <f>SUM(F7:F9)</f>
        <v>2100</v>
      </c>
    </row>
    <row r="8" spans="1:20" x14ac:dyDescent="0.25">
      <c r="A8" s="15">
        <v>2</v>
      </c>
      <c r="B8" s="15">
        <f>+Sayfa2!H5</f>
        <v>60</v>
      </c>
      <c r="C8" s="15">
        <f>+Sayfa2!F5</f>
        <v>100</v>
      </c>
      <c r="E8" s="15">
        <f>+Sayfa2!G5</f>
        <v>6</v>
      </c>
      <c r="F8" s="15">
        <f t="shared" ref="F8:F9" si="1">C8*E8</f>
        <v>600</v>
      </c>
      <c r="G8" s="51"/>
    </row>
    <row r="9" spans="1:20" x14ac:dyDescent="0.25">
      <c r="A9" s="15">
        <v>3</v>
      </c>
      <c r="B9" s="15">
        <f>+Sayfa2!L5</f>
        <v>60</v>
      </c>
      <c r="C9" s="15">
        <f>+Sayfa2!J5</f>
        <v>100</v>
      </c>
      <c r="E9" s="15">
        <f>+Sayfa2!K5</f>
        <v>6</v>
      </c>
      <c r="F9" s="15">
        <f t="shared" si="1"/>
        <v>600</v>
      </c>
      <c r="G9" s="51"/>
    </row>
    <row r="10" spans="1:20" x14ac:dyDescent="0.25">
      <c r="B10" s="16">
        <f>+ROUND(AVERAGE(B7:B9),0)</f>
        <v>63</v>
      </c>
    </row>
    <row r="11" spans="1:20" x14ac:dyDescent="0.25">
      <c r="D11" s="51" t="s">
        <v>26</v>
      </c>
      <c r="E11" s="51"/>
      <c r="F11" s="51"/>
      <c r="G11" s="51" t="s">
        <v>27</v>
      </c>
      <c r="H11" s="51"/>
      <c r="I11" s="51"/>
      <c r="J11" s="51" t="s">
        <v>28</v>
      </c>
      <c r="K11" s="51"/>
      <c r="L11" s="51"/>
    </row>
    <row r="12" spans="1:20" ht="32.25" x14ac:dyDescent="0.25">
      <c r="A12" s="15" t="s">
        <v>36</v>
      </c>
      <c r="B12" s="15" t="s">
        <v>37</v>
      </c>
      <c r="C12" s="15" t="s">
        <v>38</v>
      </c>
      <c r="D12" s="15" t="s">
        <v>39</v>
      </c>
      <c r="E12" s="15" t="s">
        <v>40</v>
      </c>
      <c r="F12" s="15" t="s">
        <v>41</v>
      </c>
      <c r="G12" s="15" t="s">
        <v>39</v>
      </c>
      <c r="H12" s="15" t="s">
        <v>40</v>
      </c>
      <c r="I12" s="15" t="s">
        <v>41</v>
      </c>
      <c r="J12" s="15" t="s">
        <v>39</v>
      </c>
      <c r="K12" s="15" t="s">
        <v>40</v>
      </c>
      <c r="L12" s="15" t="s">
        <v>41</v>
      </c>
    </row>
    <row r="13" spans="1:20" x14ac:dyDescent="0.25">
      <c r="B13" s="17" t="str">
        <f>+Sayfa2!A3</f>
        <v>22.06.2021</v>
      </c>
      <c r="C13" s="51">
        <f>G7</f>
        <v>2100</v>
      </c>
      <c r="D13" s="26">
        <f>+Sayfa2!B18</f>
        <v>6.7000000000000011</v>
      </c>
      <c r="E13" s="26">
        <f>+Sayfa2!F18</f>
        <v>3.26</v>
      </c>
      <c r="F13" s="26">
        <f>+Sayfa2!J18</f>
        <v>1.28</v>
      </c>
      <c r="G13" s="29">
        <f t="shared" ref="G13:G23" si="2">D13/$C$13</f>
        <v>3.1904761904761911E-3</v>
      </c>
      <c r="H13" s="29">
        <f t="shared" ref="H13:H23" si="3">E13/$C$13</f>
        <v>1.5523809523809522E-3</v>
      </c>
      <c r="I13" s="29">
        <f t="shared" ref="I13:I23" si="4">F13/$C$13</f>
        <v>6.0952380952380958E-4</v>
      </c>
      <c r="J13" s="30">
        <f t="shared" ref="J13:J23" si="5">G13*$C$2</f>
        <v>22333.333333333336</v>
      </c>
      <c r="K13" s="30">
        <f t="shared" ref="K13:K23" si="6">H13*$C$3</f>
        <v>10866.666666666666</v>
      </c>
      <c r="L13" s="30">
        <f t="shared" ref="L13:L23" si="7">I13*$C$4</f>
        <v>3657.1428571428573</v>
      </c>
    </row>
    <row r="14" spans="1:20" x14ac:dyDescent="0.25">
      <c r="B14" s="17" t="str">
        <f>+Sayfa2!A21</f>
        <v>23.06.2021</v>
      </c>
      <c r="C14" s="51"/>
      <c r="D14" s="26">
        <f>+Sayfa2!B36</f>
        <v>7.95</v>
      </c>
      <c r="E14" s="26">
        <f>+Sayfa2!F36</f>
        <v>3.45</v>
      </c>
      <c r="F14" s="26">
        <f>+Sayfa2!J36</f>
        <v>4.7300000000000004</v>
      </c>
      <c r="G14" s="29">
        <f t="shared" si="2"/>
        <v>3.7857142857142859E-3</v>
      </c>
      <c r="H14" s="29">
        <f t="shared" si="3"/>
        <v>1.642857142857143E-3</v>
      </c>
      <c r="I14" s="29">
        <f t="shared" si="4"/>
        <v>2.2523809523809528E-3</v>
      </c>
      <c r="J14" s="30">
        <f t="shared" si="5"/>
        <v>26500</v>
      </c>
      <c r="K14" s="30">
        <f t="shared" si="6"/>
        <v>11500</v>
      </c>
      <c r="L14" s="30">
        <f t="shared" si="7"/>
        <v>13514.285714285717</v>
      </c>
    </row>
    <row r="15" spans="1:20" x14ac:dyDescent="0.25">
      <c r="B15" s="17" t="str">
        <f>+Sayfa2!A39</f>
        <v>24.06.2021</v>
      </c>
      <c r="C15" s="51"/>
      <c r="D15" s="26">
        <f>+Sayfa2!B54</f>
        <v>4.93</v>
      </c>
      <c r="E15" s="26">
        <f>+Sayfa2!F54</f>
        <v>5.0500000000000007</v>
      </c>
      <c r="F15" s="26">
        <f>+Sayfa2!J54</f>
        <v>5.91</v>
      </c>
      <c r="G15" s="29">
        <f t="shared" si="2"/>
        <v>2.3476190476190476E-3</v>
      </c>
      <c r="H15" s="29">
        <f t="shared" si="3"/>
        <v>2.4047619047619052E-3</v>
      </c>
      <c r="I15" s="29">
        <f t="shared" si="4"/>
        <v>2.8142857142857145E-3</v>
      </c>
      <c r="J15" s="30">
        <f t="shared" si="5"/>
        <v>16433.333333333332</v>
      </c>
      <c r="K15" s="30">
        <f t="shared" si="6"/>
        <v>16833.333333333336</v>
      </c>
      <c r="L15" s="30">
        <f t="shared" si="7"/>
        <v>16885.714285714286</v>
      </c>
    </row>
    <row r="16" spans="1:20" x14ac:dyDescent="0.25">
      <c r="B16" s="17"/>
      <c r="C16" s="51"/>
      <c r="G16" s="29">
        <f t="shared" si="2"/>
        <v>0</v>
      </c>
      <c r="H16" s="29">
        <f t="shared" si="3"/>
        <v>0</v>
      </c>
      <c r="I16" s="29">
        <f t="shared" si="4"/>
        <v>0</v>
      </c>
      <c r="J16" s="30">
        <f t="shared" si="5"/>
        <v>0</v>
      </c>
      <c r="K16" s="30">
        <f t="shared" si="6"/>
        <v>0</v>
      </c>
      <c r="L16" s="30">
        <f t="shared" si="7"/>
        <v>0</v>
      </c>
    </row>
    <row r="17" spans="1:12" x14ac:dyDescent="0.25">
      <c r="B17" s="17"/>
      <c r="C17" s="51"/>
      <c r="G17" s="29">
        <f t="shared" si="2"/>
        <v>0</v>
      </c>
      <c r="H17" s="29">
        <f t="shared" si="3"/>
        <v>0</v>
      </c>
      <c r="I17" s="29">
        <f t="shared" si="4"/>
        <v>0</v>
      </c>
      <c r="J17" s="30">
        <f t="shared" si="5"/>
        <v>0</v>
      </c>
      <c r="K17" s="30">
        <f t="shared" si="6"/>
        <v>0</v>
      </c>
      <c r="L17" s="30">
        <f t="shared" si="7"/>
        <v>0</v>
      </c>
    </row>
    <row r="18" spans="1:12" x14ac:dyDescent="0.25">
      <c r="B18" s="17"/>
      <c r="C18" s="51"/>
      <c r="G18" s="29">
        <f t="shared" si="2"/>
        <v>0</v>
      </c>
      <c r="H18" s="29">
        <f t="shared" si="3"/>
        <v>0</v>
      </c>
      <c r="I18" s="29">
        <f t="shared" si="4"/>
        <v>0</v>
      </c>
      <c r="J18" s="30">
        <f t="shared" si="5"/>
        <v>0</v>
      </c>
      <c r="K18" s="30">
        <f t="shared" si="6"/>
        <v>0</v>
      </c>
      <c r="L18" s="30">
        <f t="shared" si="7"/>
        <v>0</v>
      </c>
    </row>
    <row r="19" spans="1:12" x14ac:dyDescent="0.25">
      <c r="B19" s="18"/>
      <c r="C19" s="51"/>
      <c r="G19" s="29">
        <f t="shared" si="2"/>
        <v>0</v>
      </c>
      <c r="H19" s="29">
        <f t="shared" si="3"/>
        <v>0</v>
      </c>
      <c r="I19" s="29">
        <f t="shared" si="4"/>
        <v>0</v>
      </c>
      <c r="J19" s="30">
        <f t="shared" si="5"/>
        <v>0</v>
      </c>
      <c r="K19" s="30">
        <f t="shared" si="6"/>
        <v>0</v>
      </c>
      <c r="L19" s="30">
        <f t="shared" si="7"/>
        <v>0</v>
      </c>
    </row>
    <row r="20" spans="1:12" x14ac:dyDescent="0.25">
      <c r="B20" s="18"/>
      <c r="C20" s="51"/>
      <c r="G20" s="29">
        <f t="shared" si="2"/>
        <v>0</v>
      </c>
      <c r="H20" s="29">
        <f t="shared" si="3"/>
        <v>0</v>
      </c>
      <c r="I20" s="29">
        <f t="shared" si="4"/>
        <v>0</v>
      </c>
      <c r="J20" s="30">
        <f t="shared" si="5"/>
        <v>0</v>
      </c>
      <c r="K20" s="30">
        <f t="shared" si="6"/>
        <v>0</v>
      </c>
      <c r="L20" s="30">
        <f t="shared" si="7"/>
        <v>0</v>
      </c>
    </row>
    <row r="21" spans="1:12" x14ac:dyDescent="0.25">
      <c r="B21" s="18"/>
      <c r="C21" s="51"/>
      <c r="G21" s="29">
        <f t="shared" si="2"/>
        <v>0</v>
      </c>
      <c r="H21" s="29">
        <f t="shared" si="3"/>
        <v>0</v>
      </c>
      <c r="I21" s="29">
        <f t="shared" si="4"/>
        <v>0</v>
      </c>
      <c r="J21" s="30">
        <f t="shared" si="5"/>
        <v>0</v>
      </c>
      <c r="K21" s="30">
        <f t="shared" si="6"/>
        <v>0</v>
      </c>
      <c r="L21" s="30">
        <f t="shared" si="7"/>
        <v>0</v>
      </c>
    </row>
    <row r="22" spans="1:12" x14ac:dyDescent="0.25">
      <c r="B22" s="18"/>
      <c r="C22" s="51"/>
      <c r="G22" s="29">
        <f t="shared" si="2"/>
        <v>0</v>
      </c>
      <c r="H22" s="29">
        <f t="shared" si="3"/>
        <v>0</v>
      </c>
      <c r="I22" s="29">
        <f t="shared" si="4"/>
        <v>0</v>
      </c>
      <c r="J22" s="30">
        <f t="shared" si="5"/>
        <v>0</v>
      </c>
      <c r="K22" s="30">
        <f t="shared" si="6"/>
        <v>0</v>
      </c>
      <c r="L22" s="30">
        <f t="shared" si="7"/>
        <v>0</v>
      </c>
    </row>
    <row r="23" spans="1:12" ht="30" x14ac:dyDescent="0.25">
      <c r="A23" s="15" t="s">
        <v>44</v>
      </c>
      <c r="D23" s="26">
        <f>AVERAGE(D13:D22)</f>
        <v>6.5266666666666673</v>
      </c>
      <c r="E23" s="26">
        <f t="shared" ref="E23:F23" si="8">AVERAGE(E13:E22)</f>
        <v>3.9200000000000004</v>
      </c>
      <c r="F23" s="26">
        <f t="shared" si="8"/>
        <v>3.973333333333334</v>
      </c>
      <c r="G23" s="29">
        <f t="shared" si="2"/>
        <v>3.1079365079365083E-3</v>
      </c>
      <c r="H23" s="29">
        <f t="shared" si="3"/>
        <v>1.8666666666666669E-3</v>
      </c>
      <c r="I23" s="29">
        <f t="shared" si="4"/>
        <v>1.8920634920634924E-3</v>
      </c>
      <c r="J23" s="30">
        <f t="shared" si="5"/>
        <v>21755.555555555558</v>
      </c>
      <c r="K23" s="30">
        <f t="shared" si="6"/>
        <v>13066.666666666668</v>
      </c>
      <c r="L23" s="30">
        <f t="shared" si="7"/>
        <v>11352.380952380954</v>
      </c>
    </row>
    <row r="24" spans="1:12" x14ac:dyDescent="0.25">
      <c r="A24" s="51" t="s">
        <v>46</v>
      </c>
      <c r="B24" s="51"/>
      <c r="J24" s="51">
        <f>SUM(J23:L23)/1000</f>
        <v>46.174603174603178</v>
      </c>
      <c r="K24" s="51"/>
      <c r="L24" s="51"/>
    </row>
    <row r="27" spans="1:12" ht="15" customHeight="1" x14ac:dyDescent="0.25">
      <c r="A27" s="51">
        <v>0.86599999999999999</v>
      </c>
      <c r="B27" s="51" t="s">
        <v>50</v>
      </c>
      <c r="C27" s="51"/>
      <c r="D27" s="51"/>
      <c r="E27" s="51"/>
      <c r="F27" s="53" t="s">
        <v>48</v>
      </c>
      <c r="G27" s="53"/>
      <c r="H27" s="53"/>
      <c r="I27" s="53"/>
      <c r="J27" s="53"/>
      <c r="K27" s="53"/>
      <c r="L27" s="20"/>
    </row>
    <row r="28" spans="1:12" ht="15" customHeight="1" x14ac:dyDescent="0.25">
      <c r="A28" s="51"/>
      <c r="B28" s="51"/>
      <c r="C28" s="51"/>
      <c r="D28" s="51"/>
      <c r="E28" s="51"/>
      <c r="F28" s="39" t="s">
        <v>72</v>
      </c>
      <c r="G28" s="33" t="s">
        <v>73</v>
      </c>
      <c r="H28" s="53" t="s">
        <v>51</v>
      </c>
      <c r="I28" s="53"/>
      <c r="J28" s="53"/>
      <c r="K28" s="15">
        <f>J24*0.5</f>
        <v>23.087301587301589</v>
      </c>
      <c r="L28" s="40">
        <f>+ROUND(K28,4)</f>
        <v>23.087299999999999</v>
      </c>
    </row>
    <row r="29" spans="1:12" ht="15" customHeight="1" x14ac:dyDescent="0.25">
      <c r="F29" s="39" t="s">
        <v>74</v>
      </c>
      <c r="G29" s="33" t="s">
        <v>73</v>
      </c>
      <c r="H29" s="53" t="s">
        <v>51</v>
      </c>
      <c r="I29" s="53"/>
      <c r="J29" s="53"/>
      <c r="K29" s="15">
        <f>J24*0.3</f>
        <v>13.852380952380953</v>
      </c>
      <c r="L29" s="40">
        <f>+ROUND(K29,4)</f>
        <v>13.852399999999999</v>
      </c>
    </row>
    <row r="30" spans="1:12" ht="15" customHeight="1" x14ac:dyDescent="0.25">
      <c r="F30" s="39" t="s">
        <v>75</v>
      </c>
      <c r="G30" s="33" t="s">
        <v>73</v>
      </c>
      <c r="H30" s="53" t="s">
        <v>51</v>
      </c>
      <c r="I30" s="53"/>
      <c r="J30" s="53"/>
      <c r="K30" s="15">
        <f>J24*0.4</f>
        <v>18.469841269841272</v>
      </c>
    </row>
    <row r="33" spans="1:17" x14ac:dyDescent="0.25">
      <c r="C33" s="51" t="s">
        <v>26</v>
      </c>
      <c r="D33" s="51" t="s">
        <v>49</v>
      </c>
    </row>
    <row r="34" spans="1:17" x14ac:dyDescent="0.25">
      <c r="C34" s="51"/>
      <c r="D34" s="51"/>
    </row>
    <row r="35" spans="1:17" x14ac:dyDescent="0.25">
      <c r="A35" s="15" t="s">
        <v>20</v>
      </c>
      <c r="B35" s="35" t="s">
        <v>60</v>
      </c>
      <c r="C35" s="19">
        <f>+SUMIFS(Sayfa2!$B:$B,Sayfa2!A:A,A35)+SUMIFS(Sayfa2!F:F,Sayfa2!E:E,A35)+SUMIFS(Sayfa2!J:J,Sayfa2!I:I,A35)</f>
        <v>22.78</v>
      </c>
      <c r="D35" s="19">
        <f>C35/C$42*100</f>
        <v>52.658344891354588</v>
      </c>
      <c r="E35" s="40">
        <f>+IF(C35&gt;0.01,1,0)</f>
        <v>1</v>
      </c>
    </row>
    <row r="36" spans="1:17" x14ac:dyDescent="0.25">
      <c r="A36" s="15" t="s">
        <v>21</v>
      </c>
      <c r="B36" s="36" t="s">
        <v>56</v>
      </c>
      <c r="C36" s="19">
        <f>+SUMIFS(Sayfa2!$B:$B,Sayfa2!A:A,A36)+SUMIFS(Sayfa2!F:F,Sayfa2!E:E,A36)+SUMIFS(Sayfa2!J:J,Sayfa2!I:I,A36)</f>
        <v>12.149999999999999</v>
      </c>
      <c r="D36" s="19">
        <f>C36/C$42*100</f>
        <v>28.08599167822468</v>
      </c>
      <c r="E36" s="40">
        <f t="shared" ref="E36:E41" si="9">+IF(C36&gt;0.01,1,0)</f>
        <v>1</v>
      </c>
    </row>
    <row r="37" spans="1:17" x14ac:dyDescent="0.25">
      <c r="A37" s="15" t="s">
        <v>22</v>
      </c>
      <c r="B37" s="37" t="s">
        <v>57</v>
      </c>
      <c r="C37" s="19">
        <f>+SUMIFS(Sayfa2!$B:$B,Sayfa2!A:A,A37)+SUMIFS(Sayfa2!F:F,Sayfa2!E:E,A37)+SUMIFS(Sayfa2!J:J,Sayfa2!I:I,A37)</f>
        <v>7.5299999999999994</v>
      </c>
      <c r="D37" s="19">
        <f>C37/C$42*100</f>
        <v>17.40638002773925</v>
      </c>
      <c r="E37" s="40">
        <f t="shared" si="9"/>
        <v>1</v>
      </c>
    </row>
    <row r="38" spans="1:17" x14ac:dyDescent="0.25">
      <c r="A38" s="15" t="s">
        <v>61</v>
      </c>
      <c r="B38" s="35" t="s">
        <v>62</v>
      </c>
      <c r="C38" s="19">
        <f>+SUMIFS(Sayfa2!$B:$B,Sayfa2!A:A,A38)+SUMIFS(Sayfa2!F:F,Sayfa2!E:E,A38)+SUMIFS(Sayfa2!J:J,Sayfa2!I:I,A38)</f>
        <v>0.2</v>
      </c>
      <c r="D38" s="19">
        <f t="shared" ref="D38:D41" si="10">C38/C$42*100</f>
        <v>0.46232085067036521</v>
      </c>
      <c r="E38" s="40">
        <f t="shared" si="9"/>
        <v>1</v>
      </c>
    </row>
    <row r="39" spans="1:17" x14ac:dyDescent="0.25">
      <c r="A39" s="34" t="s">
        <v>63</v>
      </c>
      <c r="B39" s="35" t="s">
        <v>64</v>
      </c>
      <c r="C39" s="19">
        <f>+SUMIFS(Sayfa2!$B:$B,Sayfa2!A:A,A39)+SUMIFS(Sayfa2!F:F,Sayfa2!E:E,A39)+SUMIFS(Sayfa2!J:J,Sayfa2!I:I,A39)</f>
        <v>0.6</v>
      </c>
      <c r="D39" s="19">
        <f t="shared" si="10"/>
        <v>1.3869625520110955</v>
      </c>
      <c r="E39" s="40">
        <f t="shared" si="9"/>
        <v>1</v>
      </c>
    </row>
    <row r="40" spans="1:17" x14ac:dyDescent="0.25">
      <c r="A40" s="34" t="s">
        <v>65</v>
      </c>
      <c r="B40" s="35" t="s">
        <v>66</v>
      </c>
      <c r="C40" s="19">
        <f>+SUMIFS(Sayfa2!$B:$B,Sayfa2!A:A,A40)+SUMIFS(Sayfa2!F:F,Sayfa2!E:E,A40)+SUMIFS(Sayfa2!J:J,Sayfa2!I:I,A40)</f>
        <v>0</v>
      </c>
      <c r="D40" s="19">
        <f t="shared" si="10"/>
        <v>0</v>
      </c>
      <c r="E40" s="40">
        <f t="shared" si="9"/>
        <v>0</v>
      </c>
    </row>
    <row r="41" spans="1:17" x14ac:dyDescent="0.25">
      <c r="A41" s="34" t="s">
        <v>67</v>
      </c>
      <c r="B41" s="35" t="s">
        <v>68</v>
      </c>
      <c r="C41" s="19">
        <f>+SUMIFS(Sayfa2!$B:$B,Sayfa2!A:A,A41)+SUMIFS(Sayfa2!F:F,Sayfa2!E:E,A41)+SUMIFS(Sayfa2!J:J,Sayfa2!I:I,A41)</f>
        <v>0</v>
      </c>
      <c r="D41" s="19">
        <f t="shared" si="10"/>
        <v>0</v>
      </c>
      <c r="E41" s="40">
        <f t="shared" si="9"/>
        <v>0</v>
      </c>
    </row>
    <row r="42" spans="1:17" x14ac:dyDescent="0.25">
      <c r="B42" s="15" t="s">
        <v>23</v>
      </c>
      <c r="C42" s="15">
        <f>SUM(C35:C41)</f>
        <v>43.260000000000005</v>
      </c>
      <c r="D42" s="19">
        <f>SUM(D35:D41)</f>
        <v>99.999999999999986</v>
      </c>
    </row>
    <row r="46" spans="1:17" ht="15" customHeight="1" x14ac:dyDescent="0.25">
      <c r="A46" s="51" t="s">
        <v>52</v>
      </c>
      <c r="B46" s="51"/>
      <c r="C46" s="51"/>
      <c r="D46" s="51"/>
      <c r="E46" s="51"/>
      <c r="F46" s="51"/>
      <c r="G46" s="51"/>
      <c r="H46" s="51"/>
      <c r="I46" s="51"/>
      <c r="J46" s="51"/>
      <c r="K46" s="51"/>
      <c r="L46" s="51"/>
    </row>
    <row r="48" spans="1:17" ht="15" customHeight="1" x14ac:dyDescent="0.25">
      <c r="A48" s="54"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"),",",IF(E36=1,A36," ")," ,",IF(E37=1,A37," ")," ",IF(E38=1,A38," "),",",IF(E39=1,A39," "),",",IF(E40=1,A40," "),",",IF(E41=1,A41," ")," ","türlerinden toplam"," ",C42," ","kg"," ","balık yakalanmış olup toplam avın ağırlığına göre dağılımı ise şu şekildedir."," ",IF(E35=1,B35," ")," ","türü"," ","%"," ",ROUND(C35/C$42*100,2),", ",IF(E36=1,B36," ")," ","türü"," ","%"," ",ROUND(C36/C$42*100,2),", ",IF(E37=1,B37," ")," ","türü"," ","%"," ",ROUND(C37/C$42*100,2),"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Saraydüzü Boyabat Baraj Gölü avlak sahasında belirlenen 3 istasyonda 2100 m² ağ alanına sahip ortalama 63 mm göz açıklığına sahip 3 adet uzatma ağları kullanılarak 22.06.2021 - 24.06.2021 tarihleri arasında avcılık operasyonları düzenlenmiştir. Denemeler sonucunda Sazan,Yayın ,Sudak Siraz,Tatlısu kefali, ,  türlerinden toplam 43,26 kg balık yakalanmış olup toplam avın ağırlığına göre dağılımı ise şu şekildedir. C.carpio türü % 52,66, S. glanis türü % 28,09, S. lucioperca türü % 17,41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13,8524 ton/yıl olarak tahmin edilmiştir.</v>
      </c>
      <c r="B48" s="54"/>
      <c r="C48" s="54"/>
      <c r="D48" s="54"/>
      <c r="E48" s="54"/>
      <c r="F48" s="54"/>
      <c r="G48" s="54"/>
      <c r="H48" s="54"/>
      <c r="I48" s="54"/>
      <c r="J48" s="54"/>
      <c r="K48" s="54"/>
      <c r="L48" s="54"/>
      <c r="M48" s="20"/>
      <c r="N48" s="20"/>
      <c r="O48" s="20"/>
      <c r="P48" s="20"/>
      <c r="Q48" s="20"/>
    </row>
    <row r="49" spans="1:17" x14ac:dyDescent="0.25">
      <c r="A49" s="54"/>
      <c r="B49" s="54"/>
      <c r="C49" s="54"/>
      <c r="D49" s="54"/>
      <c r="E49" s="54"/>
      <c r="F49" s="54"/>
      <c r="G49" s="54"/>
      <c r="H49" s="54"/>
      <c r="I49" s="54"/>
      <c r="J49" s="54"/>
      <c r="K49" s="54"/>
      <c r="L49" s="54"/>
      <c r="M49" s="20"/>
      <c r="N49" s="20"/>
      <c r="O49" s="20"/>
      <c r="P49" s="20"/>
      <c r="Q49" s="20"/>
    </row>
    <row r="50" spans="1:17" x14ac:dyDescent="0.25">
      <c r="A50" s="54"/>
      <c r="B50" s="54"/>
      <c r="C50" s="54"/>
      <c r="D50" s="54"/>
      <c r="E50" s="54"/>
      <c r="F50" s="54"/>
      <c r="G50" s="54"/>
      <c r="H50" s="54"/>
      <c r="I50" s="54"/>
      <c r="J50" s="54"/>
      <c r="K50" s="54"/>
      <c r="L50" s="54"/>
      <c r="M50" s="20"/>
      <c r="N50" s="20"/>
      <c r="O50" s="20"/>
      <c r="P50" s="20"/>
      <c r="Q50" s="20"/>
    </row>
    <row r="51" spans="1:17" x14ac:dyDescent="0.25">
      <c r="A51" s="54"/>
      <c r="B51" s="54"/>
      <c r="C51" s="54"/>
      <c r="D51" s="54"/>
      <c r="E51" s="54"/>
      <c r="F51" s="54"/>
      <c r="G51" s="54"/>
      <c r="H51" s="54"/>
      <c r="I51" s="54"/>
      <c r="J51" s="54"/>
      <c r="K51" s="54"/>
      <c r="L51" s="54"/>
      <c r="M51" s="20"/>
      <c r="N51" s="20"/>
      <c r="O51" s="20"/>
      <c r="P51" s="20"/>
      <c r="Q51" s="20"/>
    </row>
    <row r="52" spans="1:17" ht="14.25" customHeight="1" x14ac:dyDescent="0.25">
      <c r="A52" s="54"/>
      <c r="B52" s="54"/>
      <c r="C52" s="54"/>
      <c r="D52" s="54"/>
      <c r="E52" s="54"/>
      <c r="F52" s="54"/>
      <c r="G52" s="54"/>
      <c r="H52" s="54"/>
      <c r="I52" s="54"/>
      <c r="J52" s="54"/>
      <c r="K52" s="54"/>
      <c r="L52" s="54"/>
      <c r="M52" s="20"/>
      <c r="N52" s="20"/>
      <c r="O52" s="20"/>
      <c r="P52" s="20"/>
      <c r="Q52" s="20"/>
    </row>
    <row r="53" spans="1:17" x14ac:dyDescent="0.25">
      <c r="A53" s="54"/>
      <c r="B53" s="54"/>
      <c r="C53" s="54"/>
      <c r="D53" s="54"/>
      <c r="E53" s="54"/>
      <c r="F53" s="54"/>
      <c r="G53" s="54"/>
      <c r="H53" s="54"/>
      <c r="I53" s="54"/>
      <c r="J53" s="54"/>
      <c r="K53" s="54"/>
      <c r="L53" s="54"/>
      <c r="M53" s="20"/>
      <c r="N53" s="20"/>
      <c r="O53" s="20"/>
      <c r="P53" s="20"/>
      <c r="Q53" s="20"/>
    </row>
    <row r="54" spans="1:17" x14ac:dyDescent="0.25">
      <c r="A54" s="54"/>
      <c r="B54" s="54"/>
      <c r="C54" s="54"/>
      <c r="D54" s="54"/>
      <c r="E54" s="54"/>
      <c r="F54" s="54"/>
      <c r="G54" s="54"/>
      <c r="H54" s="54"/>
      <c r="I54" s="54"/>
      <c r="J54" s="54"/>
      <c r="K54" s="54"/>
      <c r="L54" s="54"/>
    </row>
    <row r="56" spans="1:17" ht="15" customHeight="1" x14ac:dyDescent="0.25">
      <c r="A56" s="53" t="s">
        <v>59</v>
      </c>
      <c r="B56" s="53"/>
      <c r="C56" s="53"/>
      <c r="D56" s="53"/>
      <c r="E56" s="53"/>
      <c r="F56" s="53"/>
      <c r="G56" s="53"/>
      <c r="H56" s="53"/>
      <c r="I56" s="53"/>
      <c r="J56" s="53"/>
      <c r="K56" s="53"/>
      <c r="L56" s="53"/>
    </row>
    <row r="57" spans="1:17" x14ac:dyDescent="0.25">
      <c r="A57" s="53"/>
      <c r="B57" s="53"/>
      <c r="C57" s="53"/>
      <c r="D57" s="53"/>
      <c r="E57" s="53"/>
      <c r="F57" s="53"/>
      <c r="G57" s="53"/>
      <c r="H57" s="53"/>
      <c r="I57" s="53"/>
      <c r="J57" s="53"/>
      <c r="K57" s="53"/>
      <c r="L57" s="53"/>
    </row>
    <row r="58" spans="1:17" x14ac:dyDescent="0.25">
      <c r="A58" s="53"/>
      <c r="B58" s="53"/>
      <c r="C58" s="53"/>
      <c r="D58" s="53"/>
      <c r="E58" s="53"/>
      <c r="F58" s="53"/>
      <c r="G58" s="53"/>
      <c r="H58" s="53"/>
      <c r="I58" s="53"/>
      <c r="J58" s="53"/>
      <c r="K58" s="53"/>
      <c r="L58" s="53"/>
    </row>
    <row r="59" spans="1:17" x14ac:dyDescent="0.25">
      <c r="A59" s="53"/>
      <c r="B59" s="53"/>
      <c r="C59" s="53"/>
      <c r="D59" s="53"/>
      <c r="E59" s="53"/>
      <c r="F59" s="53"/>
      <c r="G59" s="53"/>
      <c r="H59" s="53"/>
      <c r="I59" s="53"/>
      <c r="J59" s="53"/>
      <c r="K59" s="53"/>
      <c r="L59" s="53"/>
    </row>
  </sheetData>
  <mergeCells count="28">
    <mergeCell ref="C4:D4"/>
    <mergeCell ref="A56:L59"/>
    <mergeCell ref="A46:L46"/>
    <mergeCell ref="A48:L54"/>
    <mergeCell ref="C33:C34"/>
    <mergeCell ref="D33:D34"/>
    <mergeCell ref="A27:A28"/>
    <mergeCell ref="B27:E28"/>
    <mergeCell ref="F27:K27"/>
    <mergeCell ref="H28:J28"/>
    <mergeCell ref="H29:J29"/>
    <mergeCell ref="H30:J30"/>
    <mergeCell ref="C13:C22"/>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election activeCell="E17" sqref="E17"/>
    </sheetView>
  </sheetViews>
  <sheetFormatPr defaultRowHeight="15" x14ac:dyDescent="0.25"/>
  <cols>
    <col min="5" max="5" width="9.140625" style="27"/>
  </cols>
  <sheetData>
    <row r="1" spans="1:5" x14ac:dyDescent="0.25">
      <c r="A1" s="15" t="s">
        <v>20</v>
      </c>
      <c r="B1" s="15">
        <f>+SUMIFS(Sayfa2!$B$8:$B$17,Sayfa2!$A$8:$A$17,A1)</f>
        <v>2.5300000000000002</v>
      </c>
      <c r="C1" s="15">
        <f>+SUMIFS(Sayfa2!$F$8:$F$17,Sayfa2!$E$8:$E$17,A1)</f>
        <v>2.38</v>
      </c>
      <c r="D1" s="15">
        <f>+SUMIFS(Sayfa2!$J$8:$J$17,Sayfa2!$I$8:$I$17,A1)</f>
        <v>1.28</v>
      </c>
      <c r="E1" s="27">
        <f>+SUM(B1:D1)</f>
        <v>6.19</v>
      </c>
    </row>
    <row r="2" spans="1:5" x14ac:dyDescent="0.25">
      <c r="A2" s="15" t="s">
        <v>22</v>
      </c>
      <c r="B2" s="15">
        <f>+SUMIFS(Sayfa2!$B$8:$B$17,Sayfa2!$A$8:$A$17,A2)</f>
        <v>2.52</v>
      </c>
      <c r="C2" s="15">
        <f>+SUMIFS(Sayfa2!$F$8:$F$17,Sayfa2!$E$8:$E$17,A2)</f>
        <v>0</v>
      </c>
      <c r="D2" s="15">
        <f>+SUMIFS(Sayfa2!$J$8:$J$17,Sayfa2!$I$8:$I$17,A2)</f>
        <v>0</v>
      </c>
      <c r="E2" s="27">
        <f t="shared" ref="E2:E3" si="0">+SUM(B2:D2)</f>
        <v>2.52</v>
      </c>
    </row>
    <row r="3" spans="1:5" x14ac:dyDescent="0.25">
      <c r="A3" s="15" t="s">
        <v>21</v>
      </c>
      <c r="B3" s="15">
        <f>+SUMIFS(Sayfa2!$B$8:$B$17,Sayfa2!$A$8:$A$17,A3)</f>
        <v>1.65</v>
      </c>
      <c r="C3" s="15">
        <f>+SUMIFS(Sayfa2!$F$8:$F$17,Sayfa2!$E$8:$E$17,A3)</f>
        <v>0.88</v>
      </c>
      <c r="D3" s="15">
        <f>+SUMIFS(Sayfa2!$J$8:$J$17,Sayfa2!$I$8:$I$17,A3)</f>
        <v>0</v>
      </c>
      <c r="E3" s="27">
        <f t="shared" si="0"/>
        <v>2.5299999999999998</v>
      </c>
    </row>
    <row r="4" spans="1:5" x14ac:dyDescent="0.25">
      <c r="B4" s="13">
        <f>SUM(B1:B3)</f>
        <v>6.7000000000000011</v>
      </c>
      <c r="C4" s="13">
        <f t="shared" ref="C4" si="1">SUM(C1:C3)</f>
        <v>3.26</v>
      </c>
      <c r="D4" s="13">
        <f t="shared" ref="D4" si="2">SUM(D1:D3)</f>
        <v>1.28</v>
      </c>
      <c r="E4" s="27">
        <f>+SUM(B4:D4)</f>
        <v>11.24</v>
      </c>
    </row>
    <row r="6" spans="1:5" x14ac:dyDescent="0.25">
      <c r="A6" s="15" t="s">
        <v>20</v>
      </c>
      <c r="B6" s="15">
        <f>+SUMIFS(Sayfa2!$B$26:$B$35,Sayfa2!$A$26:$A$35,A6)</f>
        <v>2.4400000000000004</v>
      </c>
      <c r="C6" s="15">
        <f>+SUMIFS(Sayfa2!$F$26:$F$35,Sayfa2!$E$26:$E$35,A6)</f>
        <v>2.85</v>
      </c>
      <c r="D6" s="15">
        <f>+SUMIFS(Sayfa2!$J$26:$J$35,Sayfa2!$I$26:$I$35,A6)</f>
        <v>2.9000000000000004</v>
      </c>
      <c r="E6" s="27">
        <f t="shared" ref="E6:E8" si="3">+SUM(B6:D6)</f>
        <v>8.1900000000000013</v>
      </c>
    </row>
    <row r="7" spans="1:5" x14ac:dyDescent="0.25">
      <c r="A7" s="15" t="s">
        <v>22</v>
      </c>
      <c r="B7" s="15">
        <f>+SUMIFS(Sayfa2!$B$26:$B$35,Sayfa2!$A$26:$A$35,A7)</f>
        <v>2.61</v>
      </c>
      <c r="C7" s="15">
        <f>+SUMIFS(Sayfa2!$F$26:$F$35,Sayfa2!$E$26:$E$35,A7)</f>
        <v>0</v>
      </c>
      <c r="D7" s="15">
        <f>+SUMIFS(Sayfa2!$J$26:$J$35,Sayfa2!$I$26:$I$35,A7)</f>
        <v>0</v>
      </c>
      <c r="E7" s="27">
        <f t="shared" si="3"/>
        <v>2.61</v>
      </c>
    </row>
    <row r="8" spans="1:5" x14ac:dyDescent="0.25">
      <c r="A8" s="15" t="s">
        <v>21</v>
      </c>
      <c r="B8" s="15">
        <f>+SUMIFS(Sayfa2!$B$26:$B$35,Sayfa2!$A$26:$A$35,A8)</f>
        <v>2.7</v>
      </c>
      <c r="C8" s="15">
        <f>+SUMIFS(Sayfa2!$F$26:$F$35,Sayfa2!$E$26:$E$35,A8)</f>
        <v>0</v>
      </c>
      <c r="D8" s="15">
        <f>+SUMIFS(Sayfa2!$J$26:$J$35,Sayfa2!$I$26:$I$35,A8)</f>
        <v>1.83</v>
      </c>
      <c r="E8" s="27">
        <f t="shared" si="3"/>
        <v>4.53</v>
      </c>
    </row>
    <row r="9" spans="1:5" x14ac:dyDescent="0.25">
      <c r="B9" s="13">
        <f>SUM(B6:B8)</f>
        <v>7.7500000000000009</v>
      </c>
      <c r="C9" s="13">
        <f t="shared" ref="C9:D9" si="4">SUM(C6:C8)</f>
        <v>2.85</v>
      </c>
      <c r="D9" s="13">
        <f t="shared" si="4"/>
        <v>4.7300000000000004</v>
      </c>
      <c r="E9" s="27">
        <f>+SUM(B9:D9)</f>
        <v>15.330000000000002</v>
      </c>
    </row>
    <row r="11" spans="1:5" x14ac:dyDescent="0.25">
      <c r="A11" s="15" t="s">
        <v>20</v>
      </c>
      <c r="B11" s="15">
        <f>+SUMIFS(Sayfa2!$B$44:$B$53,Sayfa2!$A$44:$A$53,A11)</f>
        <v>2.83</v>
      </c>
      <c r="C11" s="15">
        <f>+SUMIFS(Sayfa2!$F$44:$F$53,Sayfa2!$E$44:$E$53,A11)</f>
        <v>2.6500000000000004</v>
      </c>
      <c r="D11" s="15">
        <f>+SUMIFS(Sayfa2!$J$44:$J$53,Sayfa2!$I$44:$I$53,A11)</f>
        <v>2.92</v>
      </c>
      <c r="E11" s="27">
        <f>+SUM(B11:D11)</f>
        <v>8.4</v>
      </c>
    </row>
    <row r="12" spans="1:5" x14ac:dyDescent="0.25">
      <c r="A12" s="15" t="s">
        <v>22</v>
      </c>
      <c r="B12" s="15">
        <f>+SUMIFS(Sayfa2!$B$44:$B$53,Sayfa2!$A$44:$A$53,A12)</f>
        <v>0</v>
      </c>
      <c r="C12" s="15">
        <f>+SUMIFS(Sayfa2!$F$44:$F$53,Sayfa2!$E$44:$E$53,A12)</f>
        <v>2.4</v>
      </c>
      <c r="D12" s="15">
        <f>+SUMIFS(Sayfa2!$J$44:$J$53,Sayfa2!$I$44:$I$53,A12)</f>
        <v>0</v>
      </c>
      <c r="E12" s="27">
        <f t="shared" ref="E12:E13" si="5">+SUM(B12:D12)</f>
        <v>2.4</v>
      </c>
    </row>
    <row r="13" spans="1:5" x14ac:dyDescent="0.25">
      <c r="A13" s="15" t="s">
        <v>21</v>
      </c>
      <c r="B13" s="15">
        <f>+SUMIFS(Sayfa2!$B$44:$B$53,Sayfa2!$A$44:$A$53,A13)</f>
        <v>2.1</v>
      </c>
      <c r="C13" s="15">
        <f>+SUMIFS(Sayfa2!$F$44:$F$53,Sayfa2!$E$44:$E$53,A13)</f>
        <v>0</v>
      </c>
      <c r="D13" s="15">
        <f>+SUMIFS(Sayfa2!$J$44:$J$53,Sayfa2!$I$44:$I$53,A13)</f>
        <v>2.99</v>
      </c>
      <c r="E13" s="27">
        <f t="shared" si="5"/>
        <v>5.09</v>
      </c>
    </row>
    <row r="14" spans="1:5" x14ac:dyDescent="0.25">
      <c r="B14" s="13">
        <f>SUM(B11:B13)</f>
        <v>4.93</v>
      </c>
      <c r="C14" s="13">
        <f t="shared" ref="C14" si="6">SUM(C11:C13)</f>
        <v>5.0500000000000007</v>
      </c>
      <c r="D14" s="13">
        <f t="shared" ref="D14" si="7">SUM(D11:D13)</f>
        <v>5.91</v>
      </c>
      <c r="E14" s="27">
        <f>+SUM(B14:D14)</f>
        <v>15.89</v>
      </c>
    </row>
    <row r="15" spans="1:5" x14ac:dyDescent="0.25">
      <c r="E15" s="27">
        <f>+E4+E9+E14</f>
        <v>42.46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Sayfa2</vt:lpstr>
      <vt:lpstr>Sonuç</vt:lpstr>
      <vt:lpstr>Sayfa4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2026-08-07T11:53:23Z</dcterms:modified>
</cp:coreProperties>
</file>