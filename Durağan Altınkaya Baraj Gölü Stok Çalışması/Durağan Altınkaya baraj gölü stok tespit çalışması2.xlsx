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6F9263C0-6B77-4DFA-92D9-01FD87E48325}" xr6:coauthVersionLast="47" xr6:coauthVersionMax="47" xr10:uidLastSave="{00000000-0000-0000-0000-000000000000}"/>
  <bookViews>
    <workbookView xWindow="-120" yWindow="-120" windowWidth="20730" windowHeight="11160" xr2:uid="{00000000-000D-0000-FFFF-FFFF00000000}"/>
  </bookViews>
  <sheets>
    <sheet name="Sayfa2" sheetId="2" r:id="rId1"/>
    <sheet name="Sonuç" sheetId="6" r:id="rId2"/>
    <sheet name="Sayfa4" sheetId="8" r:id="rId3"/>
  </sheets>
  <definedNames>
    <definedName name="_xlnm.Print_Area" localSheetId="1">Sonuç!$A$1:$L$50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9" i="2" l="1"/>
  <c r="E39" i="2"/>
  <c r="I21" i="2"/>
  <c r="E21" i="2"/>
  <c r="H3" i="6"/>
  <c r="A28" i="8"/>
  <c r="B37" i="8" l="1"/>
  <c r="D37" i="8" s="1"/>
  <c r="B34" i="8"/>
  <c r="D34" i="8" s="1"/>
  <c r="B28" i="8"/>
  <c r="E28" i="8" s="1"/>
  <c r="B47" i="8" s="1"/>
  <c r="B22" i="8"/>
  <c r="E22" i="8" s="1"/>
  <c r="E25" i="8" s="1"/>
  <c r="B46" i="8" s="1"/>
  <c r="D39" i="8" l="1"/>
  <c r="B49" i="8" s="1"/>
  <c r="B39" i="8"/>
  <c r="B25" i="8"/>
  <c r="D17" i="8"/>
  <c r="D16" i="8"/>
  <c r="D13" i="8"/>
  <c r="D18" i="8" l="1"/>
  <c r="A42" i="8" s="1"/>
  <c r="D42" i="8" s="1"/>
  <c r="B50" i="8" s="1"/>
  <c r="J1" i="8"/>
  <c r="J2" i="8"/>
  <c r="J3" i="8"/>
  <c r="J4" i="8"/>
  <c r="J5" i="8"/>
  <c r="J6" i="8"/>
  <c r="J7" i="8"/>
  <c r="I2" i="8"/>
  <c r="I3" i="8"/>
  <c r="I4" i="8"/>
  <c r="I5" i="8"/>
  <c r="I6" i="8"/>
  <c r="I7" i="8"/>
  <c r="I1" i="8"/>
  <c r="A3" i="8" l="1"/>
  <c r="A7" i="8"/>
  <c r="A6" i="8"/>
  <c r="A9" i="8"/>
  <c r="A5" i="8"/>
  <c r="A8" i="8"/>
  <c r="A4" i="8"/>
  <c r="C23" i="2"/>
  <c r="C41" i="2" s="1"/>
  <c r="L23" i="2"/>
  <c r="K23" i="2"/>
  <c r="J23" i="2"/>
  <c r="J41" i="2" s="1"/>
  <c r="H23" i="2"/>
  <c r="H41" i="2" s="1"/>
  <c r="G23" i="2"/>
  <c r="F23" i="2"/>
  <c r="F41" i="2" s="1"/>
  <c r="D23" i="2"/>
  <c r="B23" i="2"/>
  <c r="B41" i="2" s="1"/>
  <c r="L41" i="2"/>
  <c r="K41" i="2"/>
  <c r="G41" i="2"/>
  <c r="D41" i="2"/>
  <c r="B18" i="2"/>
  <c r="F18" i="2"/>
  <c r="J18" i="2"/>
  <c r="B7" i="6"/>
  <c r="B8" i="6"/>
  <c r="B9" i="6"/>
  <c r="A19" i="2" l="1"/>
  <c r="B42" i="2" l="1"/>
  <c r="J24" i="2"/>
  <c r="J42" i="2" s="1"/>
  <c r="F24" i="2"/>
  <c r="F42" i="2" s="1"/>
  <c r="B24" i="2"/>
  <c r="C3" i="6" l="1"/>
  <c r="C4" i="6"/>
  <c r="C2" i="6"/>
  <c r="I1" i="6" l="1"/>
  <c r="H1" i="6" s="1"/>
  <c r="E9" i="6" l="1"/>
  <c r="C9" i="6"/>
  <c r="E8" i="6"/>
  <c r="C8" i="6"/>
  <c r="E7" i="6"/>
  <c r="C7" i="6"/>
  <c r="F54" i="2"/>
  <c r="E15" i="6" s="1"/>
  <c r="J54" i="2"/>
  <c r="F15" i="6" s="1"/>
  <c r="I3" i="2"/>
  <c r="E3" i="2"/>
  <c r="F13" i="6"/>
  <c r="D13" i="6"/>
  <c r="B15" i="6"/>
  <c r="B14" i="6"/>
  <c r="B13" i="6"/>
  <c r="B36" i="2"/>
  <c r="D14" i="6" s="1"/>
  <c r="B10" i="6" l="1"/>
  <c r="F8" i="6"/>
  <c r="E13" i="6"/>
  <c r="F7" i="6"/>
  <c r="F9" i="6"/>
  <c r="B54" i="2"/>
  <c r="J36" i="2"/>
  <c r="F14" i="6" s="1"/>
  <c r="F23" i="6" s="1"/>
  <c r="F36" i="2"/>
  <c r="A37" i="2" l="1"/>
  <c r="E14" i="6"/>
  <c r="E23" i="6" s="1"/>
  <c r="D15" i="6"/>
  <c r="D23" i="6" s="1"/>
  <c r="A55" i="2"/>
  <c r="G7" i="6"/>
  <c r="C36" i="6" l="1"/>
  <c r="E36" i="6" s="1"/>
  <c r="C40" i="6"/>
  <c r="C37" i="6"/>
  <c r="E37" i="6" s="1"/>
  <c r="C41" i="6"/>
  <c r="C38" i="6"/>
  <c r="C35" i="6"/>
  <c r="C39" i="6"/>
  <c r="C13" i="6"/>
  <c r="G22" i="6" s="1"/>
  <c r="J22" i="6" s="1"/>
  <c r="I18" i="6" l="1"/>
  <c r="L18" i="6" s="1"/>
  <c r="E39" i="6"/>
  <c r="E40" i="6"/>
  <c r="E41" i="6"/>
  <c r="G23" i="6"/>
  <c r="J23" i="6" s="1"/>
  <c r="H15" i="6"/>
  <c r="K15" i="6" s="1"/>
  <c r="G17" i="6"/>
  <c r="J17" i="6" s="1"/>
  <c r="H17" i="6"/>
  <c r="K17" i="6" s="1"/>
  <c r="E38" i="6"/>
  <c r="I20" i="6"/>
  <c r="L20" i="6" s="1"/>
  <c r="I22" i="6"/>
  <c r="L22" i="6" s="1"/>
  <c r="H23" i="6"/>
  <c r="K23" i="6" s="1"/>
  <c r="I13" i="6"/>
  <c r="L13" i="6" s="1"/>
  <c r="I16" i="6"/>
  <c r="L16" i="6" s="1"/>
  <c r="G19" i="6"/>
  <c r="J19" i="6" s="1"/>
  <c r="G13" i="6"/>
  <c r="J13" i="6" s="1"/>
  <c r="I19" i="6"/>
  <c r="L19" i="6" s="1"/>
  <c r="G20" i="6"/>
  <c r="J20" i="6" s="1"/>
  <c r="H14" i="6"/>
  <c r="K14" i="6" s="1"/>
  <c r="H22" i="6"/>
  <c r="K22" i="6" s="1"/>
  <c r="G14" i="6"/>
  <c r="J14" i="6" s="1"/>
  <c r="H13" i="6"/>
  <c r="K13" i="6" s="1"/>
  <c r="G21" i="6"/>
  <c r="J21" i="6" s="1"/>
  <c r="H20" i="6"/>
  <c r="K20" i="6" s="1"/>
  <c r="I17" i="6"/>
  <c r="L17" i="6" s="1"/>
  <c r="I23" i="6"/>
  <c r="L23" i="6" s="1"/>
  <c r="I15" i="6"/>
  <c r="L15" i="6" s="1"/>
  <c r="G16" i="6"/>
  <c r="J16" i="6" s="1"/>
  <c r="E35" i="6"/>
  <c r="C42" i="6"/>
  <c r="D39" i="6" s="1"/>
  <c r="G15" i="6"/>
  <c r="J15" i="6" s="1"/>
  <c r="I14" i="6"/>
  <c r="L14" i="6" s="1"/>
  <c r="I21" i="6"/>
  <c r="L21" i="6" s="1"/>
  <c r="H21" i="6"/>
  <c r="K21" i="6" s="1"/>
  <c r="H19" i="6"/>
  <c r="K19" i="6" s="1"/>
  <c r="H18" i="6"/>
  <c r="K18" i="6" s="1"/>
  <c r="H16" i="6"/>
  <c r="K16" i="6" s="1"/>
  <c r="G18" i="6"/>
  <c r="J18" i="6" s="1"/>
  <c r="D38" i="6" l="1"/>
  <c r="D40" i="6"/>
  <c r="D41" i="6"/>
  <c r="J24" i="6"/>
  <c r="K29" i="6" s="1"/>
  <c r="D37" i="6"/>
  <c r="D36" i="6"/>
  <c r="D35" i="6"/>
  <c r="L29" i="6" l="1"/>
  <c r="A48" i="6" s="1"/>
  <c r="K2" i="8"/>
  <c r="B4" i="8" s="1"/>
  <c r="D4" i="8" s="1"/>
  <c r="K6" i="8"/>
  <c r="B8" i="8" s="1"/>
  <c r="D8" i="8" s="1"/>
  <c r="K4" i="8"/>
  <c r="B6" i="8" s="1"/>
  <c r="D6" i="8" s="1"/>
  <c r="K5" i="8"/>
  <c r="B7" i="8" s="1"/>
  <c r="D7" i="8" s="1"/>
  <c r="K3" i="8"/>
  <c r="B5" i="8" s="1"/>
  <c r="D5" i="8" s="1"/>
  <c r="K7" i="8"/>
  <c r="B9" i="8" s="1"/>
  <c r="D9" i="8" s="1"/>
  <c r="K1" i="8"/>
  <c r="B3" i="8" s="1"/>
  <c r="K28" i="6"/>
  <c r="L28" i="6" s="1"/>
  <c r="K30" i="6"/>
  <c r="L30" i="6" s="1"/>
  <c r="D42" i="6"/>
  <c r="B10" i="8" l="1"/>
  <c r="D3" i="8"/>
  <c r="D10" i="8" s="1"/>
  <c r="C53" i="8" s="1"/>
  <c r="K8" i="8"/>
  <c r="A31" i="8" l="1"/>
  <c r="D31" i="8" s="1"/>
  <c r="B48" i="8" s="1"/>
  <c r="B51" i="8" s="1"/>
  <c r="C54" i="8" s="1"/>
  <c r="C55" i="8" s="1"/>
  <c r="B58" i="8" s="1"/>
  <c r="E5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B1" authorId="0" shapeId="0" xr:uid="{00000000-0006-0000-0100-000001000000}">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xr:uid="{00000000-0006-0000-0100-000002000000}">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xr:uid="{00000000-0006-0000-0100-000003000000}">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xr:uid="{00000000-0006-0000-0100-000004000000}">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xr:uid="{00000000-0006-0000-0100-000005000000}">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xr:uid="{00000000-0006-0000-0100-000006000000}">
      <text>
        <r>
          <rPr>
            <b/>
            <sz val="9"/>
            <color indexed="81"/>
            <rFont val="Tahoma"/>
            <family val="2"/>
            <charset val="162"/>
          </rPr>
          <t>Yazar:</t>
        </r>
        <r>
          <rPr>
            <sz val="9"/>
            <color indexed="81"/>
            <rFont val="Tahoma"/>
            <family val="2"/>
            <charset val="162"/>
          </rPr>
          <t xml:space="preserve">
Mantar yakanın uzunluğu</t>
        </r>
      </text>
    </comment>
    <comment ref="D6" authorId="0" shapeId="0" xr:uid="{00000000-0006-0000-0100-000007000000}">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xr:uid="{00000000-0006-0000-0100-000008000000}">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xr:uid="{00000000-0006-0000-0100-000009000000}">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xr:uid="{00000000-0006-0000-0100-00000A000000}">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xr:uid="{00000000-0006-0000-0100-00000B000000}">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xr:uid="{00000000-0006-0000-0100-00000C000000}">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xr:uid="{00000000-0006-0000-0100-00000D00000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xr:uid="{00000000-0006-0000-0100-00000E000000}">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xr:uid="{00000000-0006-0000-0100-00000F00000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xr:uid="{00000000-0006-0000-0100-000010000000}">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xr:uid="{00000000-0006-0000-0100-000011000000}">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xr:uid="{00000000-0006-0000-0100-000012000000}">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xr:uid="{00000000-0006-0000-0100-000013000000}">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xr:uid="{00000000-0006-0000-0100-000014000000}">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xr:uid="{00000000-0006-0000-0100-000015000000}">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sharedStrings.xml><?xml version="1.0" encoding="utf-8"?>
<sst xmlns="http://schemas.openxmlformats.org/spreadsheetml/2006/main" count="300" uniqueCount="121">
  <si>
    <t>1. İSTASYON</t>
  </si>
  <si>
    <t>AV ARACI</t>
  </si>
  <si>
    <t>KOORDİNAT</t>
  </si>
  <si>
    <t>TÜRLER</t>
  </si>
  <si>
    <t>Çizelgede verilen tarihler ağların koordinatlara kurulduğu tarihtir.</t>
  </si>
  <si>
    <t>Çekimler bir sonraki gün saat 08:00-10:00 arasında yapılmıştır.</t>
  </si>
  <si>
    <t>Diğer günlerde av miktarının az oluşu ağların suda uzun süre kalıp çamur kaplanmasından kaynaklandığı anlaşılmıştır.</t>
  </si>
  <si>
    <t>Ağırlık (kg)</t>
  </si>
  <si>
    <t>Boy (cm)</t>
  </si>
  <si>
    <t>Sazan</t>
  </si>
  <si>
    <t>Yayın</t>
  </si>
  <si>
    <t>Sudak</t>
  </si>
  <si>
    <t>Toplam</t>
  </si>
  <si>
    <t>Balıkçı Sayısı</t>
  </si>
  <si>
    <t>Ticari Türler</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</si>
  <si>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</si>
  <si>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</si>
  <si>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</si>
  <si>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</si>
  <si>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</si>
  <si>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</si>
  <si>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</si>
  <si>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</si>
  <si>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</si>
  <si>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</si>
  <si>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</si>
  <si>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</si>
  <si>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</si>
  <si>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</si>
  <si>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</si>
  <si>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</si>
  <si>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</si>
  <si>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</si>
  <si>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t>Ortalama (kg)</t>
  </si>
  <si>
    <t>2. ist</t>
  </si>
  <si>
    <t>Toplam Biyomas (ton)</t>
  </si>
  <si>
    <t>3. ist</t>
  </si>
  <si>
    <t>E= 0,3 ile 0,6 arasında tercih edilebilir, ideal değeri 0,5 olarak kabul edilir</t>
  </si>
  <si>
    <t>Türlerin toplam avdaki oranları</t>
  </si>
  <si>
    <t>0,5 donam faktörüyle donanmış bir ağın derinliğini hesaplamak için kullanılan sabit katsayı</t>
  </si>
  <si>
    <t>Avlanabilir Stok (kiralamaya esas) =</t>
  </si>
  <si>
    <t>Rapor örneği</t>
  </si>
  <si>
    <t>Göz Aç.(mm)</t>
  </si>
  <si>
    <t>Derinlik (m)</t>
  </si>
  <si>
    <t>Boy (m)</t>
  </si>
  <si>
    <t>S. glanis</t>
  </si>
  <si>
    <t>S. lucioperca</t>
  </si>
  <si>
    <t xml:space="preserve">          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</si>
  <si>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C.carpio</t>
  </si>
  <si>
    <t>Siraz</t>
  </si>
  <si>
    <t>Capoeta sp.</t>
  </si>
  <si>
    <t>Tatlısu kefali</t>
  </si>
  <si>
    <t>S.cephalus</t>
  </si>
  <si>
    <t>Bıyıklı balık</t>
  </si>
  <si>
    <t>Barbus sp.</t>
  </si>
  <si>
    <t>E=0,5</t>
  </si>
  <si>
    <t xml:space="preserve"> alınırsa </t>
  </si>
  <si>
    <t>E=0,3</t>
  </si>
  <si>
    <t>E=0,4</t>
  </si>
  <si>
    <t>C.gibelio</t>
  </si>
  <si>
    <t>03.12.2021</t>
  </si>
  <si>
    <t>07.12.2021</t>
  </si>
  <si>
    <t>08.12.2021</t>
  </si>
  <si>
    <t>41°17'08.9"N   35°11'38.3"E</t>
  </si>
  <si>
    <t>41°16'47.3"N   35°11'32.3"E</t>
  </si>
  <si>
    <t>41°16'27.9"N   35°11'43.1"E</t>
  </si>
  <si>
    <t>02.12.2021-08.12.2021 DURAĞAN ALTINKAYA BARAJ GÖLÜ STOK TESPİT ÇALIŞMASI SONUÇLARI</t>
  </si>
  <si>
    <t>DURAĞAN ALTINKAYA BARAJ GÖLÜ</t>
  </si>
  <si>
    <t>Bıyıklı Balık</t>
  </si>
  <si>
    <t>03.12.2021 de ağlar akşam saat 18:00 de diğer günler sabah çekimden sonra kurulmuştur.</t>
  </si>
  <si>
    <t>Motorlu Tekne</t>
  </si>
  <si>
    <t>Balıkçı</t>
  </si>
  <si>
    <t>Yıllık Avlanma Günü</t>
  </si>
  <si>
    <t>Tekne Sayısı</t>
  </si>
  <si>
    <t>Günde Harcanan Yakıt (Lt)</t>
  </si>
  <si>
    <t>Toplam Gelirler</t>
  </si>
  <si>
    <t>Gider Oranı (%)</t>
  </si>
  <si>
    <t>Tutar (TL)</t>
  </si>
  <si>
    <t>Tür / Latince Adı</t>
  </si>
  <si>
    <t>Stok Mik.(Kg)</t>
  </si>
  <si>
    <t>Birim Fiyatı (TL/Kg)</t>
  </si>
  <si>
    <t>Tutarı (TL)</t>
  </si>
  <si>
    <t>1- Gelirler</t>
  </si>
  <si>
    <t>2- Yatırm Giderleri</t>
  </si>
  <si>
    <t>Yatırımın Cinsi</t>
  </si>
  <si>
    <t>Miktarı (Ad)</t>
  </si>
  <si>
    <t>Motorsuz Tekne</t>
  </si>
  <si>
    <t>Pinter-Sepet</t>
  </si>
  <si>
    <t>Ağ (Takım)</t>
  </si>
  <si>
    <t>Diğer</t>
  </si>
  <si>
    <t>3-İşletme Giderleri</t>
  </si>
  <si>
    <t>Personel</t>
  </si>
  <si>
    <t>Adedi</t>
  </si>
  <si>
    <t>Çalıştığı Süre (Ay)</t>
  </si>
  <si>
    <t>Aylığı (TL)</t>
  </si>
  <si>
    <t>İşçi</t>
  </si>
  <si>
    <t>a) Personel Giderleri</t>
  </si>
  <si>
    <t>b) Akaryakıt Giderleri</t>
  </si>
  <si>
    <t>Yakıt Litre Fiyatı (TL)</t>
  </si>
  <si>
    <t>c) Pazarlama Giderleri</t>
  </si>
  <si>
    <t>d) Amortisman Giderleri</t>
  </si>
  <si>
    <t>Kullanım Ömrü</t>
  </si>
  <si>
    <t>e) Beklenmeyen Giderler</t>
  </si>
  <si>
    <t>Yatırım Giderleri</t>
  </si>
  <si>
    <t>TOPLAM YILLIK İŞLETME GİDERLERİ</t>
  </si>
  <si>
    <t>Giderin Nevi</t>
  </si>
  <si>
    <t>Personel Giderleri</t>
  </si>
  <si>
    <t>Akaryakıt Giderleri</t>
  </si>
  <si>
    <t>Pazarlama Giderleri</t>
  </si>
  <si>
    <t>Amortisman Giderleri</t>
  </si>
  <si>
    <t>Beklenmeyen Giderler</t>
  </si>
  <si>
    <t>4- YILLIK MUHAMMEN KİRA BEDELİ</t>
  </si>
  <si>
    <t>Toplam Yıllık Gelirler</t>
  </si>
  <si>
    <t>Toplam Yıllık İşletme Giderleri</t>
  </si>
  <si>
    <t>Yıllık Gelir Gider Farkı</t>
  </si>
  <si>
    <t>Muhammen Kira Bedeli</t>
  </si>
  <si>
    <t>Yllık Gelir Gider Farkı</t>
  </si>
  <si>
    <t>Kira Oranı (%)</t>
  </si>
  <si>
    <t>Gümişi Balık</t>
  </si>
  <si>
    <t>2. İSTASYON</t>
  </si>
  <si>
    <t>3. İSTASYON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</si>
</sst>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 \k\m\²"/>
    <numFmt numFmtId="166" formatCode="#,###\ \m\²"/>
    <numFmt numFmtId="167" formatCode="#,##0.0000000"/>
  </numFmts>
  <fonts count="16"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i/>
      <sz val="11"/>
      <color theme="1"/>
      <name val="Calibri"/>
      <family val="2"/>
      <charset val="162"/>
      <scheme val="minor"/>
    </font>
    <font>
      <vertAlign val="superscript"/>
      <sz val="11"/>
      <color theme="1"/>
      <name val="Calibri"/>
      <family val="2"/>
      <charset val="162"/>
      <scheme val="minor"/>
    </font>
    <font>
      <b/>
      <sz val="9"/>
      <color indexed="81"/>
      <name val="Tahoma"/>
      <family val="2"/>
      <charset val="162"/>
    </font>
    <font>
      <sz val="9"/>
      <color indexed="81"/>
      <name val="Tahoma"/>
      <family val="2"/>
      <charset val="162"/>
    </font>
    <font>
      <sz val="11"/>
      <color rgb="FF222222"/>
      <name val="Arial"/>
      <family val="2"/>
      <charset val="162"/>
    </font>
    <font>
      <sz val="11"/>
      <color rgb="FF202124"/>
      <name val="Arial"/>
      <family val="2"/>
      <charset val="162"/>
    </font>
    <font>
      <sz val="11"/>
      <color theme="0"/>
      <name val="Calibri"/>
      <family val="2"/>
      <scheme val="minor"/>
    </font>
    <font>
      <sz val="11"/>
      <name val="Times New Roman"/>
      <family val="1"/>
      <charset val="162"/>
    </font>
    <font>
      <b/>
      <sz val="11"/>
      <name val="Times New Roman"/>
      <family val="1"/>
      <charset val="162"/>
    </font>
    <font>
      <b/>
      <i/>
      <sz val="11"/>
      <name val="Times New Roman"/>
      <family val="1"/>
      <charset val="162"/>
    </font>
    <font>
      <i/>
      <sz val="11"/>
      <name val="Times New Roman"/>
      <family val="1"/>
      <charset val="162"/>
    </font>
    <font>
      <sz val="11"/>
      <name val="Calibri"/>
      <family val="2"/>
      <scheme val="minor"/>
    </font>
    <font>
      <b/>
      <sz val="11"/>
      <color theme="1"/>
      <name val="Calibri"/>
      <family val="2"/>
      <charset val="16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4">
    <xf numFmtId="0" fontId="0" fillId="0" borderId="0" xfId="0"/>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164" fontId="0" fillId="0" borderId="0" xfId="0" applyNumberFormat="1" applyAlignment="1">
      <alignment horizontal="right" vertical="center" wrapText="1" indent="1"/>
    </xf>
    <xf numFmtId="165" fontId="0" fillId="0" borderId="0" xfId="0" applyNumberFormat="1" applyAlignment="1">
      <alignment horizontal="center" vertical="center" wrapText="1"/>
    </xf>
    <xf numFmtId="167" fontId="0" fillId="0" borderId="0" xfId="0" applyNumberFormat="1" applyAlignment="1">
      <alignment horizontal="right" vertical="center" wrapText="1" indent="1"/>
    </xf>
    <xf numFmtId="3" fontId="0" fillId="0" borderId="0" xfId="0" applyNumberFormat="1" applyAlignment="1">
      <alignment horizontal="right" vertical="center" wrapText="1" indent="1"/>
    </xf>
    <xf numFmtId="165"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shrinkToFit="1"/>
    </xf>
    <xf numFmtId="0" fontId="3"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xf>
    <xf numFmtId="0" fontId="0" fillId="0" borderId="0" xfId="0" applyAlignment="1">
      <alignment horizontal="center" vertical="center" wrapText="1"/>
    </xf>
    <xf numFmtId="0" fontId="0" fillId="0" borderId="0" xfId="0" applyAlignment="1">
      <alignment horizontal="right" vertical="center" wrapText="1"/>
    </xf>
    <xf numFmtId="0" fontId="9" fillId="0" borderId="0" xfId="0" applyFont="1" applyAlignment="1">
      <alignment horizontal="center" vertical="center" wrapText="1"/>
    </xf>
    <xf numFmtId="0" fontId="0" fillId="0" borderId="0" xfId="0" applyAlignment="1">
      <alignment horizontal="center" vertical="center" wrapText="1"/>
    </xf>
    <xf numFmtId="3" fontId="10" fillId="0" borderId="0" xfId="0" applyNumberFormat="1" applyFont="1" applyAlignment="1">
      <alignment horizontal="right" indent="4"/>
    </xf>
    <xf numFmtId="0" fontId="10" fillId="0" borderId="0" xfId="0" applyFont="1"/>
    <xf numFmtId="14" fontId="11" fillId="0" borderId="0" xfId="0" quotePrefix="1" applyNumberFormat="1" applyFont="1" applyAlignment="1">
      <alignment horizontal="left"/>
    </xf>
    <xf numFmtId="14" fontId="11" fillId="0" borderId="0" xfId="0" applyNumberFormat="1" applyFont="1" applyAlignment="1">
      <alignment horizontal="left"/>
    </xf>
    <xf numFmtId="0" fontId="11" fillId="0" borderId="0" xfId="0" applyFont="1" applyAlignment="1">
      <alignment horizontal="center"/>
    </xf>
    <xf numFmtId="0" fontId="11" fillId="0" borderId="0" xfId="0" applyFont="1" applyAlignment="1">
      <alignment horizontal="left" indent="1"/>
    </xf>
    <xf numFmtId="0" fontId="12" fillId="0" borderId="0" xfId="0" applyFont="1" applyAlignment="1">
      <alignment horizontal="center"/>
    </xf>
    <xf numFmtId="0" fontId="10" fillId="0" borderId="0" xfId="0" applyFont="1" applyAlignment="1">
      <alignment horizontal="left" indent="1"/>
    </xf>
    <xf numFmtId="0" fontId="10" fillId="0" borderId="0" xfId="0" applyFont="1" applyAlignment="1">
      <alignment horizontal="right" indent="4"/>
    </xf>
    <xf numFmtId="3" fontId="10" fillId="0" borderId="0" xfId="0" applyNumberFormat="1" applyFont="1" applyAlignment="1">
      <alignment horizontal="left" indent="1"/>
    </xf>
    <xf numFmtId="3" fontId="13" fillId="0" borderId="0" xfId="0" applyNumberFormat="1" applyFont="1" applyAlignment="1">
      <alignment horizontal="right" indent="4"/>
    </xf>
    <xf numFmtId="0" fontId="11" fillId="0" borderId="0" xfId="0" applyFont="1"/>
    <xf numFmtId="164" fontId="10" fillId="0" borderId="0" xfId="0" applyNumberFormat="1" applyFont="1" applyAlignment="1">
      <alignment horizontal="center"/>
    </xf>
    <xf numFmtId="0" fontId="10" fillId="0" borderId="0" xfId="0" applyFont="1" applyAlignment="1">
      <alignment horizontal="center"/>
    </xf>
    <xf numFmtId="0" fontId="11" fillId="0" borderId="0" xfId="0" applyFont="1" applyAlignment="1">
      <alignment horizontal="left"/>
    </xf>
    <xf numFmtId="0" fontId="14" fillId="0" borderId="0" xfId="0" applyFont="1" applyAlignment="1">
      <alignment horizontal="center" vertical="center" wrapText="1"/>
    </xf>
    <xf numFmtId="0" fontId="14" fillId="0" borderId="0" xfId="0" applyFont="1" applyAlignment="1">
      <alignment horizontal="center" vertical="center" shrinkToFit="1"/>
    </xf>
    <xf numFmtId="0" fontId="13" fillId="0" borderId="0" xfId="0" applyFont="1" applyAlignment="1">
      <alignment horizontal="right" indent="4"/>
    </xf>
    <xf numFmtId="0" fontId="12" fillId="0" borderId="0" xfId="0" applyFont="1" applyAlignment="1">
      <alignment horizontal="right" indent="4"/>
    </xf>
    <xf numFmtId="164" fontId="13" fillId="0" borderId="0" xfId="0" applyNumberFormat="1" applyFont="1" applyAlignment="1">
      <alignment horizontal="right" indent="4"/>
    </xf>
    <xf numFmtId="0" fontId="13" fillId="0" borderId="0" xfId="0" applyFont="1" applyAlignment="1">
      <alignment horizontal="left" indent="1"/>
    </xf>
    <xf numFmtId="3" fontId="0" fillId="0" borderId="0" xfId="0" applyNumberFormat="1" applyAlignment="1">
      <alignment horizontal="right" indent="1"/>
    </xf>
    <xf numFmtId="0" fontId="15" fillId="0" borderId="0" xfId="0" applyFont="1"/>
    <xf numFmtId="0" fontId="15" fillId="0" borderId="1" xfId="0" applyFont="1" applyBorder="1" applyAlignment="1">
      <alignment horizontal="center"/>
    </xf>
    <xf numFmtId="0" fontId="15" fillId="0" borderId="1" xfId="0" applyFont="1" applyBorder="1"/>
    <xf numFmtId="0" fontId="0" fillId="0" borderId="1" xfId="0" applyBorder="1"/>
    <xf numFmtId="3" fontId="0" fillId="0" borderId="1" xfId="0" applyNumberFormat="1" applyBorder="1" applyAlignment="1">
      <alignment horizontal="right" indent="2"/>
    </xf>
    <xf numFmtId="0" fontId="0" fillId="0" borderId="1" xfId="0" applyBorder="1" applyAlignment="1">
      <alignment horizontal="right" indent="4"/>
    </xf>
    <xf numFmtId="3" fontId="0" fillId="0" borderId="1" xfId="0" applyNumberFormat="1" applyBorder="1" applyAlignment="1">
      <alignment horizontal="right" indent="1"/>
    </xf>
    <xf numFmtId="3" fontId="15" fillId="0" borderId="1" xfId="0" applyNumberFormat="1" applyFont="1" applyBorder="1" applyAlignment="1">
      <alignment horizontal="right" indent="2"/>
    </xf>
    <xf numFmtId="0" fontId="15" fillId="0" borderId="1" xfId="0" applyFont="1" applyBorder="1" applyAlignment="1">
      <alignment horizontal="right" indent="4"/>
    </xf>
    <xf numFmtId="0" fontId="0" fillId="0" borderId="1" xfId="0" applyBorder="1" applyAlignment="1">
      <alignment horizontal="right" indent="2"/>
    </xf>
    <xf numFmtId="3" fontId="0" fillId="0" borderId="1" xfId="0" applyNumberFormat="1" applyBorder="1" applyAlignment="1">
      <alignment horizontal="right" indent="4"/>
    </xf>
    <xf numFmtId="0" fontId="15" fillId="0" borderId="1" xfId="0" applyFont="1" applyBorder="1" applyAlignment="1">
      <alignment horizontal="right" indent="2"/>
    </xf>
    <xf numFmtId="0" fontId="15" fillId="0" borderId="0" xfId="0" applyFont="1" applyFill="1" applyBorder="1"/>
    <xf numFmtId="0" fontId="0" fillId="0" borderId="0" xfId="0" applyBorder="1"/>
    <xf numFmtId="0" fontId="15" fillId="0" borderId="0" xfId="0" applyFont="1" applyBorder="1"/>
    <xf numFmtId="0" fontId="15" fillId="0" borderId="1" xfId="0" applyFont="1" applyFill="1" applyBorder="1"/>
    <xf numFmtId="0" fontId="15" fillId="0" borderId="1" xfId="0" applyFont="1" applyFill="1" applyBorder="1" applyAlignment="1">
      <alignment horizontal="center"/>
    </xf>
    <xf numFmtId="0" fontId="2" fillId="0" borderId="1" xfId="0" applyFont="1" applyFill="1" applyBorder="1"/>
    <xf numFmtId="0" fontId="0" fillId="0" borderId="0" xfId="0" applyBorder="1" applyAlignment="1">
      <alignment horizontal="right" indent="2"/>
    </xf>
    <xf numFmtId="3" fontId="0" fillId="0" borderId="0" xfId="0" applyNumberFormat="1" applyBorder="1" applyAlignment="1">
      <alignment horizontal="right" indent="1"/>
    </xf>
    <xf numFmtId="4" fontId="0" fillId="0" borderId="1" xfId="0" applyNumberFormat="1" applyBorder="1" applyAlignment="1">
      <alignment horizontal="right" indent="1"/>
    </xf>
    <xf numFmtId="0" fontId="2" fillId="0" borderId="1" xfId="0" applyFont="1" applyFill="1" applyBorder="1" applyAlignment="1">
      <alignment horizontal="center"/>
    </xf>
    <xf numFmtId="0" fontId="0" fillId="0" borderId="1" xfId="0" applyBorder="1" applyAlignment="1">
      <alignment horizontal="center"/>
    </xf>
    <xf numFmtId="0" fontId="15" fillId="0" borderId="1" xfId="0" applyFont="1" applyBorder="1" applyAlignment="1">
      <alignment shrinkToFit="1"/>
    </xf>
    <xf numFmtId="0" fontId="15" fillId="0" borderId="1" xfId="0" applyFont="1" applyBorder="1" applyAlignment="1">
      <alignment horizontal="center" shrinkToFit="1"/>
    </xf>
    <xf numFmtId="0" fontId="2" fillId="0" borderId="1" xfId="0" applyFont="1" applyBorder="1" applyAlignment="1">
      <alignment horizontal="center"/>
    </xf>
    <xf numFmtId="4" fontId="2" fillId="0" borderId="1" xfId="0" applyNumberFormat="1" applyFont="1" applyBorder="1" applyAlignment="1">
      <alignment horizontal="center"/>
    </xf>
    <xf numFmtId="4" fontId="15" fillId="0" borderId="1" xfId="0" applyNumberFormat="1" applyFont="1" applyBorder="1" applyAlignment="1">
      <alignment horizontal="right" indent="1"/>
    </xf>
    <xf numFmtId="0" fontId="15" fillId="0" borderId="1" xfId="0" applyFont="1" applyBorder="1" applyAlignment="1">
      <alignment horizontal="right" indent="1"/>
    </xf>
    <xf numFmtId="3" fontId="15" fillId="0" borderId="1" xfId="0" applyNumberFormat="1" applyFont="1" applyBorder="1" applyAlignment="1">
      <alignment horizontal="center"/>
    </xf>
    <xf numFmtId="4" fontId="0" fillId="0" borderId="1" xfId="0" applyNumberFormat="1" applyBorder="1"/>
    <xf numFmtId="4" fontId="15" fillId="0" borderId="1" xfId="0" applyNumberFormat="1" applyFont="1" applyBorder="1" applyAlignment="1">
      <alignment horizontal="right" indent="2"/>
    </xf>
    <xf numFmtId="4" fontId="0" fillId="0" borderId="1" xfId="0" applyNumberFormat="1" applyBorder="1" applyAlignment="1">
      <alignment horizontal="right" indent="2"/>
    </xf>
    <xf numFmtId="4" fontId="15" fillId="0" borderId="0" xfId="0" applyNumberFormat="1" applyFont="1" applyBorder="1" applyAlignment="1">
      <alignment horizontal="right" indent="2"/>
    </xf>
    <xf numFmtId="0" fontId="15" fillId="0" borderId="0" xfId="0" applyFont="1" applyBorder="1" applyAlignment="1">
      <alignment horizontal="right" indent="2"/>
    </xf>
    <xf numFmtId="4" fontId="15" fillId="0" borderId="0" xfId="0" applyNumberFormat="1" applyFont="1" applyBorder="1" applyAlignment="1">
      <alignment horizontal="right" indent="1"/>
    </xf>
    <xf numFmtId="4" fontId="15" fillId="0" borderId="1" xfId="0" applyNumberFormat="1" applyFont="1" applyBorder="1" applyAlignment="1">
      <alignment horizontal="center"/>
    </xf>
    <xf numFmtId="0" fontId="15" fillId="0" borderId="4" xfId="0" applyFont="1" applyFill="1" applyBorder="1"/>
    <xf numFmtId="4" fontId="15" fillId="0" borderId="1" xfId="0" applyNumberFormat="1" applyFont="1" applyBorder="1" applyAlignment="1">
      <alignment horizontal="right" indent="3"/>
    </xf>
    <xf numFmtId="0" fontId="15" fillId="0" borderId="1" xfId="0" applyFont="1" applyBorder="1" applyAlignment="1">
      <alignment horizontal="center"/>
    </xf>
    <xf numFmtId="164" fontId="12" fillId="0" borderId="0" xfId="0" applyNumberFormat="1" applyFont="1" applyAlignment="1">
      <alignment horizontal="right" indent="6"/>
    </xf>
    <xf numFmtId="164" fontId="11" fillId="0" borderId="0" xfId="0" applyNumberFormat="1" applyFont="1" applyAlignment="1">
      <alignment horizontal="right" indent="6"/>
    </xf>
    <xf numFmtId="0" fontId="11" fillId="0" borderId="0" xfId="0" applyFont="1" applyAlignment="1">
      <alignment horizontal="right" indent="6"/>
    </xf>
    <xf numFmtId="164" fontId="11" fillId="0" borderId="0" xfId="0" applyNumberFormat="1" applyFont="1" applyAlignment="1">
      <alignment horizontal="center"/>
    </xf>
    <xf numFmtId="164" fontId="13" fillId="0" borderId="0" xfId="0" applyNumberFormat="1" applyFont="1" applyAlignment="1">
      <alignment horizontal="right" indent="6"/>
    </xf>
    <xf numFmtId="164" fontId="10" fillId="0" borderId="0" xfId="0" applyNumberFormat="1" applyFont="1" applyAlignment="1">
      <alignment horizontal="right" indent="6"/>
    </xf>
    <xf numFmtId="0" fontId="10" fillId="0" borderId="0" xfId="0" applyFont="1" applyAlignment="1">
      <alignment horizontal="right" indent="6"/>
    </xf>
    <xf numFmtId="0" fontId="11" fillId="0" borderId="0" xfId="0" applyFont="1" applyAlignment="1">
      <alignment horizontal="center"/>
    </xf>
    <xf numFmtId="14" fontId="11" fillId="0" borderId="0" xfId="0" applyNumberFormat="1" applyFont="1" applyAlignment="1">
      <alignment horizontal="center"/>
    </xf>
    <xf numFmtId="0" fontId="11"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justify" vertical="center" wrapText="1"/>
    </xf>
    <xf numFmtId="166" fontId="0" fillId="0" borderId="0" xfId="0" applyNumberFormat="1" applyAlignment="1">
      <alignment horizontal="left" vertical="center" wrapText="1"/>
    </xf>
    <xf numFmtId="0" fontId="15" fillId="0" borderId="1" xfId="0" applyFont="1" applyFill="1" applyBorder="1" applyAlignment="1">
      <alignment horizontal="left"/>
    </xf>
    <xf numFmtId="0" fontId="15" fillId="0" borderId="1" xfId="0" applyFont="1" applyBorder="1" applyAlignment="1">
      <alignment horizontal="center"/>
    </xf>
    <xf numFmtId="4" fontId="15" fillId="0" borderId="1" xfId="0" applyNumberFormat="1" applyFont="1" applyBorder="1" applyAlignment="1">
      <alignment horizontal="center"/>
    </xf>
    <xf numFmtId="0" fontId="15" fillId="0" borderId="2" xfId="0" applyFont="1" applyBorder="1" applyAlignment="1">
      <alignment horizontal="center" shrinkToFit="1"/>
    </xf>
    <xf numFmtId="0" fontId="15" fillId="0" borderId="3" xfId="0" applyFont="1" applyBorder="1" applyAlignment="1">
      <alignment horizontal="center" shrinkToFit="1"/>
    </xf>
    <xf numFmtId="0" fontId="15" fillId="0" borderId="5" xfId="0" applyFont="1" applyBorder="1" applyAlignment="1">
      <alignment horizontal="center" vertical="center"/>
    </xf>
    <xf numFmtId="0" fontId="15" fillId="0" borderId="6"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DURAĞAN ALTINKAYA </a:t>
            </a:r>
            <a:r>
              <a:rPr lang="tr-TR" baseline="0"/>
              <a:t>BARAJ GÖLÜ BALIK POPULASYONU</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A6-413B-9EB5-897B487B23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A6-413B-9EB5-897B487B23B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A6-413B-9EB5-897B487B23B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A6-413B-9EB5-897B487B23B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7A6-413B-9EB5-897B487B23B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7A6-413B-9EB5-897B487B23B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7A6-413B-9EB5-897B487B23B7}"/>
              </c:ext>
            </c:extLst>
          </c:dPt>
          <c:dLbls>
            <c:dLbl>
              <c:idx val="6"/>
              <c:layout>
                <c:manualLayout>
                  <c:x val="0.10364525935272284"/>
                  <c:y val="2.92655367231638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7A6-413B-9EB5-897B487B23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Sonuç!$B$35:$B$41</c:f>
              <c:strCache>
                <c:ptCount val="7"/>
                <c:pt idx="0">
                  <c:v>C.carpio</c:v>
                </c:pt>
                <c:pt idx="1">
                  <c:v>S. glanis</c:v>
                </c:pt>
                <c:pt idx="2">
                  <c:v>S. lucioperca</c:v>
                </c:pt>
                <c:pt idx="3">
                  <c:v>Capoeta sp.</c:v>
                </c:pt>
                <c:pt idx="4">
                  <c:v>S.cephalus</c:v>
                </c:pt>
                <c:pt idx="5">
                  <c:v>Barbus sp.</c:v>
                </c:pt>
                <c:pt idx="6">
                  <c:v>C.gibelio</c:v>
                </c:pt>
              </c:strCache>
            </c:strRef>
          </c:cat>
          <c:val>
            <c:numRef>
              <c:f>Sonuç!$C$35:$C$41</c:f>
              <c:numCache>
                <c:formatCode>#,##0.00</c:formatCode>
                <c:ptCount val="7"/>
                <c:pt idx="0">
                  <c:v>18.136000000000003</c:v>
                </c:pt>
                <c:pt idx="1">
                  <c:v>1.85</c:v>
                </c:pt>
                <c:pt idx="2">
                  <c:v>4.1500000000000004</c:v>
                </c:pt>
                <c:pt idx="3">
                  <c:v>6.24</c:v>
                </c:pt>
                <c:pt idx="4">
                  <c:v>3.1900000000000004</c:v>
                </c:pt>
                <c:pt idx="5">
                  <c:v>1.58</c:v>
                </c:pt>
                <c:pt idx="6">
                  <c:v>9.4599999999999991</c:v>
                </c:pt>
              </c:numCache>
            </c:numRef>
          </c:val>
          <c:extLst>
            <c:ext xmlns:c16="http://schemas.microsoft.com/office/drawing/2014/chart" uri="{C3380CC4-5D6E-409C-BE32-E72D297353CC}">
              <c16:uniqueId val="{0000000E-87A6-413B-9EB5-897B487B23B7}"/>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2" name="Grafik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5"/>
  <sheetViews>
    <sheetView tabSelected="1" topLeftCell="A16" zoomScale="85" zoomScaleNormal="85" workbookViewId="0">
      <selection activeCell="E36" sqref="E36"/>
    </sheetView>
  </sheetViews>
  <sheetFormatPr defaultRowHeight="15" x14ac:dyDescent="0.25"/>
  <cols>
    <col min="1" max="1" width="17.28515625" style="22" customWidth="1"/>
    <col min="2" max="2" width="9.42578125" style="22" customWidth="1"/>
    <col min="3" max="3" width="12.7109375" style="22" customWidth="1"/>
    <col min="4" max="4" width="13.28515625" style="22" bestFit="1" customWidth="1"/>
    <col min="5" max="5" width="17.28515625" style="22" customWidth="1"/>
    <col min="6" max="6" width="9.28515625" style="22" customWidth="1"/>
    <col min="7" max="7" width="12.7109375" style="22" customWidth="1"/>
    <col min="8" max="8" width="13.28515625" style="22" customWidth="1"/>
    <col min="9" max="9" width="16.5703125" style="22" customWidth="1"/>
    <col min="10" max="10" width="9.140625" style="22" customWidth="1"/>
    <col min="11" max="11" width="12.7109375" style="22" customWidth="1"/>
    <col min="12" max="12" width="13.140625" style="22" customWidth="1"/>
    <col min="13" max="16384" width="9.140625" style="22"/>
  </cols>
  <sheetData>
    <row r="1" spans="1:12" x14ac:dyDescent="0.25">
      <c r="A1" s="90" t="s">
        <v>66</v>
      </c>
      <c r="B1" s="90"/>
      <c r="C1" s="90"/>
      <c r="D1" s="90"/>
      <c r="E1" s="90"/>
      <c r="F1" s="90"/>
      <c r="G1" s="90"/>
      <c r="H1" s="90"/>
      <c r="I1" s="90"/>
      <c r="J1" s="90"/>
      <c r="K1" s="90"/>
      <c r="L1" s="90"/>
    </row>
    <row r="3" spans="1:12" x14ac:dyDescent="0.25">
      <c r="A3" s="23" t="s">
        <v>60</v>
      </c>
      <c r="B3" s="91" t="s">
        <v>0</v>
      </c>
      <c r="C3" s="91"/>
      <c r="D3" s="91"/>
      <c r="E3" s="24" t="str">
        <f>+A3</f>
        <v>03.12.2021</v>
      </c>
      <c r="F3" s="91" t="s">
        <v>119</v>
      </c>
      <c r="G3" s="91"/>
      <c r="H3" s="91"/>
      <c r="I3" s="24" t="str">
        <f>+A3</f>
        <v>03.12.2021</v>
      </c>
      <c r="J3" s="91" t="s">
        <v>120</v>
      </c>
      <c r="K3" s="91"/>
      <c r="L3" s="91"/>
    </row>
    <row r="4" spans="1:12" x14ac:dyDescent="0.25">
      <c r="A4" s="92" t="s">
        <v>1</v>
      </c>
      <c r="B4" s="25" t="s">
        <v>44</v>
      </c>
      <c r="C4" s="25" t="s">
        <v>43</v>
      </c>
      <c r="D4" s="25" t="s">
        <v>42</v>
      </c>
      <c r="E4" s="92" t="s">
        <v>1</v>
      </c>
      <c r="F4" s="25" t="s">
        <v>44</v>
      </c>
      <c r="G4" s="25" t="s">
        <v>43</v>
      </c>
      <c r="H4" s="25" t="s">
        <v>42</v>
      </c>
      <c r="I4" s="92" t="s">
        <v>1</v>
      </c>
      <c r="J4" s="25" t="s">
        <v>44</v>
      </c>
      <c r="K4" s="25" t="s">
        <v>43</v>
      </c>
      <c r="L4" s="25" t="s">
        <v>42</v>
      </c>
    </row>
    <row r="5" spans="1:12" x14ac:dyDescent="0.25">
      <c r="A5" s="92"/>
      <c r="B5" s="25">
        <v>200</v>
      </c>
      <c r="C5" s="25">
        <v>10</v>
      </c>
      <c r="D5" s="25">
        <v>70</v>
      </c>
      <c r="E5" s="92"/>
      <c r="F5" s="25">
        <v>200</v>
      </c>
      <c r="G5" s="25">
        <v>5</v>
      </c>
      <c r="H5" s="25">
        <v>70</v>
      </c>
      <c r="I5" s="92"/>
      <c r="J5" s="25">
        <v>150</v>
      </c>
      <c r="K5" s="25">
        <v>5</v>
      </c>
      <c r="L5" s="25">
        <v>70</v>
      </c>
    </row>
    <row r="6" spans="1:12" x14ac:dyDescent="0.25">
      <c r="A6" s="26" t="s">
        <v>2</v>
      </c>
      <c r="B6" s="90" t="s">
        <v>63</v>
      </c>
      <c r="C6" s="90"/>
      <c r="D6" s="90"/>
      <c r="E6" s="26" t="s">
        <v>2</v>
      </c>
      <c r="F6" s="90" t="s">
        <v>64</v>
      </c>
      <c r="G6" s="90"/>
      <c r="H6" s="90"/>
      <c r="I6" s="26" t="s">
        <v>2</v>
      </c>
      <c r="J6" s="90" t="s">
        <v>65</v>
      </c>
      <c r="K6" s="90"/>
      <c r="L6" s="90"/>
    </row>
    <row r="7" spans="1:12" x14ac:dyDescent="0.25">
      <c r="A7" s="26" t="s">
        <v>3</v>
      </c>
      <c r="B7" s="90" t="s">
        <v>7</v>
      </c>
      <c r="C7" s="90"/>
      <c r="D7" s="27" t="s">
        <v>8</v>
      </c>
      <c r="E7" s="26" t="s">
        <v>3</v>
      </c>
      <c r="F7" s="90" t="s">
        <v>7</v>
      </c>
      <c r="G7" s="90"/>
      <c r="H7" s="27" t="s">
        <v>8</v>
      </c>
      <c r="I7" s="26" t="s">
        <v>3</v>
      </c>
      <c r="J7" s="90" t="s">
        <v>7</v>
      </c>
      <c r="K7" s="90"/>
      <c r="L7" s="27" t="s">
        <v>8</v>
      </c>
    </row>
    <row r="8" spans="1:12" x14ac:dyDescent="0.25">
      <c r="A8" s="28" t="s">
        <v>118</v>
      </c>
      <c r="B8" s="88">
        <v>0.62</v>
      </c>
      <c r="C8" s="89"/>
      <c r="D8" s="21">
        <v>33</v>
      </c>
      <c r="E8" s="28" t="s">
        <v>118</v>
      </c>
      <c r="F8" s="87">
        <v>0.46</v>
      </c>
      <c r="G8" s="87"/>
      <c r="H8" s="29">
        <v>28</v>
      </c>
      <c r="I8" s="28" t="s">
        <v>118</v>
      </c>
      <c r="J8" s="87">
        <v>0.93</v>
      </c>
      <c r="K8" s="87"/>
      <c r="L8" s="29">
        <v>40</v>
      </c>
    </row>
    <row r="9" spans="1:12" x14ac:dyDescent="0.25">
      <c r="A9" s="28" t="s">
        <v>49</v>
      </c>
      <c r="B9" s="87">
        <v>0.23</v>
      </c>
      <c r="C9" s="87"/>
      <c r="D9" s="29">
        <v>26</v>
      </c>
      <c r="E9" s="28" t="s">
        <v>11</v>
      </c>
      <c r="F9" s="88">
        <v>2.1</v>
      </c>
      <c r="G9" s="88"/>
      <c r="H9" s="21">
        <v>60</v>
      </c>
      <c r="I9" s="28" t="s">
        <v>118</v>
      </c>
      <c r="J9" s="88">
        <v>0.74</v>
      </c>
      <c r="K9" s="89"/>
      <c r="L9" s="21">
        <v>35</v>
      </c>
    </row>
    <row r="10" spans="1:12" x14ac:dyDescent="0.25">
      <c r="A10" s="28" t="s">
        <v>49</v>
      </c>
      <c r="B10" s="87">
        <v>0.21</v>
      </c>
      <c r="C10" s="87"/>
      <c r="D10" s="29">
        <v>24</v>
      </c>
      <c r="E10" s="30" t="s">
        <v>9</v>
      </c>
      <c r="F10" s="88">
        <v>0.95</v>
      </c>
      <c r="G10" s="89"/>
      <c r="H10" s="21">
        <v>38</v>
      </c>
      <c r="I10" s="30" t="s">
        <v>9</v>
      </c>
      <c r="J10" s="88">
        <v>1.28</v>
      </c>
      <c r="K10" s="89"/>
      <c r="L10" s="21">
        <v>46</v>
      </c>
    </row>
    <row r="11" spans="1:12" x14ac:dyDescent="0.25">
      <c r="A11" s="28" t="s">
        <v>9</v>
      </c>
      <c r="B11" s="88">
        <v>1.25</v>
      </c>
      <c r="C11" s="89"/>
      <c r="D11" s="21">
        <v>48</v>
      </c>
      <c r="E11" s="30" t="s">
        <v>9</v>
      </c>
      <c r="F11" s="88">
        <v>1.25</v>
      </c>
      <c r="G11" s="89"/>
      <c r="H11" s="21">
        <v>43</v>
      </c>
      <c r="I11" s="28" t="s">
        <v>118</v>
      </c>
      <c r="J11" s="88">
        <v>0.59</v>
      </c>
      <c r="K11" s="89"/>
      <c r="L11" s="21">
        <v>32</v>
      </c>
    </row>
    <row r="12" spans="1:12" x14ac:dyDescent="0.25">
      <c r="A12" s="28" t="s">
        <v>118</v>
      </c>
      <c r="B12" s="88">
        <v>0.56000000000000005</v>
      </c>
      <c r="C12" s="89"/>
      <c r="D12" s="21">
        <v>30</v>
      </c>
      <c r="E12" s="30" t="s">
        <v>9</v>
      </c>
      <c r="F12" s="88">
        <v>1.28</v>
      </c>
      <c r="G12" s="89"/>
      <c r="H12" s="21">
        <v>45</v>
      </c>
      <c r="I12" s="28" t="s">
        <v>68</v>
      </c>
      <c r="J12" s="88">
        <v>0.56000000000000005</v>
      </c>
      <c r="K12" s="89"/>
      <c r="L12" s="21">
        <v>31</v>
      </c>
    </row>
    <row r="13" spans="1:12" x14ac:dyDescent="0.25">
      <c r="A13" s="30" t="s">
        <v>51</v>
      </c>
      <c r="B13" s="88">
        <v>0.57999999999999996</v>
      </c>
      <c r="C13" s="88"/>
      <c r="D13" s="21">
        <v>29</v>
      </c>
      <c r="E13" s="28" t="s">
        <v>49</v>
      </c>
      <c r="F13" s="87">
        <v>0.26</v>
      </c>
      <c r="G13" s="87"/>
      <c r="H13" s="29">
        <v>31</v>
      </c>
      <c r="I13" s="28" t="s">
        <v>49</v>
      </c>
      <c r="J13" s="88">
        <v>0.21</v>
      </c>
      <c r="K13" s="88"/>
      <c r="L13" s="21">
        <v>24</v>
      </c>
    </row>
    <row r="14" spans="1:12" x14ac:dyDescent="0.25">
      <c r="A14" s="28" t="s">
        <v>49</v>
      </c>
      <c r="B14" s="88">
        <v>0.22</v>
      </c>
      <c r="C14" s="88"/>
      <c r="D14" s="21">
        <v>26</v>
      </c>
      <c r="E14" s="28" t="s">
        <v>49</v>
      </c>
      <c r="F14" s="87">
        <v>0.24</v>
      </c>
      <c r="G14" s="87"/>
      <c r="H14" s="29">
        <v>25</v>
      </c>
      <c r="I14" s="28" t="s">
        <v>49</v>
      </c>
      <c r="J14" s="88">
        <v>0.23</v>
      </c>
      <c r="K14" s="88"/>
      <c r="L14" s="21">
        <v>27</v>
      </c>
    </row>
    <row r="15" spans="1:12" x14ac:dyDescent="0.25">
      <c r="A15" s="28" t="s">
        <v>49</v>
      </c>
      <c r="B15" s="88">
        <v>0.24</v>
      </c>
      <c r="C15" s="88"/>
      <c r="D15" s="21">
        <v>23</v>
      </c>
      <c r="E15" s="28" t="s">
        <v>49</v>
      </c>
      <c r="F15" s="88">
        <v>0.24</v>
      </c>
      <c r="G15" s="88"/>
      <c r="H15" s="21">
        <v>23</v>
      </c>
      <c r="I15" s="28" t="s">
        <v>49</v>
      </c>
      <c r="J15" s="88">
        <v>0.22</v>
      </c>
      <c r="K15" s="88"/>
      <c r="L15" s="21">
        <v>25</v>
      </c>
    </row>
    <row r="16" spans="1:12" x14ac:dyDescent="0.25">
      <c r="A16" s="28" t="s">
        <v>118</v>
      </c>
      <c r="B16" s="88">
        <v>0.61</v>
      </c>
      <c r="C16" s="89"/>
      <c r="D16" s="21">
        <v>32</v>
      </c>
      <c r="E16" s="28" t="s">
        <v>118</v>
      </c>
      <c r="F16" s="88">
        <v>0.62</v>
      </c>
      <c r="G16" s="89"/>
      <c r="H16" s="21">
        <v>33</v>
      </c>
      <c r="I16" s="28" t="s">
        <v>118</v>
      </c>
      <c r="J16" s="88">
        <v>0.6</v>
      </c>
      <c r="K16" s="89"/>
      <c r="L16" s="21">
        <v>31</v>
      </c>
    </row>
    <row r="17" spans="1:16" x14ac:dyDescent="0.25">
      <c r="A17" s="28"/>
      <c r="B17" s="88"/>
      <c r="C17" s="88"/>
      <c r="D17" s="31"/>
      <c r="E17" s="30"/>
      <c r="F17" s="88"/>
      <c r="G17" s="89"/>
      <c r="H17" s="21"/>
      <c r="I17" s="30"/>
      <c r="J17" s="88"/>
      <c r="K17" s="88"/>
      <c r="L17" s="21"/>
    </row>
    <row r="18" spans="1:16" x14ac:dyDescent="0.25">
      <c r="A18" s="26" t="s">
        <v>12</v>
      </c>
      <c r="B18" s="84">
        <f>SUM(B8:C17)</f>
        <v>4.5200000000000005</v>
      </c>
      <c r="C18" s="84"/>
      <c r="D18" s="32"/>
      <c r="E18" s="26" t="s">
        <v>12</v>
      </c>
      <c r="F18" s="84">
        <f>SUM(F8:G17)</f>
        <v>7.4</v>
      </c>
      <c r="G18" s="84"/>
      <c r="H18" s="32"/>
      <c r="I18" s="26" t="s">
        <v>12</v>
      </c>
      <c r="J18" s="84">
        <f>SUM(J8:K17)</f>
        <v>5.3599999999999994</v>
      </c>
      <c r="K18" s="84"/>
      <c r="L18" s="32"/>
    </row>
    <row r="19" spans="1:16" x14ac:dyDescent="0.25">
      <c r="A19" s="86">
        <f>+B18+F18+J18</f>
        <v>17.28</v>
      </c>
      <c r="B19" s="86"/>
      <c r="C19" s="86"/>
      <c r="D19" s="86"/>
      <c r="E19" s="86"/>
      <c r="F19" s="86"/>
      <c r="G19" s="86"/>
      <c r="H19" s="86"/>
      <c r="I19" s="86"/>
      <c r="J19" s="86"/>
      <c r="K19" s="86"/>
      <c r="L19" s="86"/>
    </row>
    <row r="20" spans="1:16" x14ac:dyDescent="0.25">
      <c r="A20" s="33"/>
      <c r="B20" s="34"/>
      <c r="C20" s="34"/>
      <c r="D20" s="34"/>
      <c r="E20" s="34"/>
      <c r="F20" s="34"/>
      <c r="G20" s="34"/>
      <c r="H20" s="34"/>
      <c r="I20" s="34"/>
      <c r="J20" s="34"/>
      <c r="K20" s="34"/>
      <c r="L20" s="34"/>
    </row>
    <row r="21" spans="1:16" x14ac:dyDescent="0.25">
      <c r="A21" s="23" t="s">
        <v>61</v>
      </c>
      <c r="B21" s="91" t="s">
        <v>0</v>
      </c>
      <c r="C21" s="91"/>
      <c r="D21" s="91"/>
      <c r="E21" s="24" t="str">
        <f>+A21</f>
        <v>07.12.2021</v>
      </c>
      <c r="F21" s="91" t="s">
        <v>119</v>
      </c>
      <c r="G21" s="91"/>
      <c r="H21" s="91"/>
      <c r="I21" s="24" t="str">
        <f>+A21</f>
        <v>07.12.2021</v>
      </c>
      <c r="J21" s="91" t="s">
        <v>120</v>
      </c>
      <c r="K21" s="91"/>
      <c r="L21" s="91"/>
    </row>
    <row r="22" spans="1:16" x14ac:dyDescent="0.25">
      <c r="A22" s="92" t="s">
        <v>1</v>
      </c>
      <c r="B22" s="25" t="s">
        <v>44</v>
      </c>
      <c r="C22" s="25" t="s">
        <v>43</v>
      </c>
      <c r="D22" s="25" t="s">
        <v>42</v>
      </c>
      <c r="E22" s="92" t="s">
        <v>1</v>
      </c>
      <c r="F22" s="25" t="s">
        <v>44</v>
      </c>
      <c r="G22" s="25" t="s">
        <v>43</v>
      </c>
      <c r="H22" s="25" t="s">
        <v>42</v>
      </c>
      <c r="I22" s="92" t="s">
        <v>1</v>
      </c>
      <c r="J22" s="25" t="s">
        <v>44</v>
      </c>
      <c r="K22" s="25" t="s">
        <v>43</v>
      </c>
      <c r="L22" s="25" t="s">
        <v>42</v>
      </c>
    </row>
    <row r="23" spans="1:16" x14ac:dyDescent="0.25">
      <c r="A23" s="92"/>
      <c r="B23" s="25">
        <f>+B5</f>
        <v>200</v>
      </c>
      <c r="C23" s="25">
        <f>+C5</f>
        <v>10</v>
      </c>
      <c r="D23" s="25">
        <f>+D5</f>
        <v>70</v>
      </c>
      <c r="E23" s="92"/>
      <c r="F23" s="25">
        <f>+F5</f>
        <v>200</v>
      </c>
      <c r="G23" s="25">
        <f>+G5</f>
        <v>5</v>
      </c>
      <c r="H23" s="25">
        <f>+H5</f>
        <v>70</v>
      </c>
      <c r="I23" s="92"/>
      <c r="J23" s="25">
        <f>+J5</f>
        <v>150</v>
      </c>
      <c r="K23" s="25">
        <f>+K5</f>
        <v>5</v>
      </c>
      <c r="L23" s="25">
        <f>+L5</f>
        <v>70</v>
      </c>
    </row>
    <row r="24" spans="1:16" x14ac:dyDescent="0.25">
      <c r="A24" s="35" t="s">
        <v>2</v>
      </c>
      <c r="B24" s="90" t="str">
        <f>+B6</f>
        <v>41°17'08.9"N   35°11'38.3"E</v>
      </c>
      <c r="C24" s="90"/>
      <c r="D24" s="90"/>
      <c r="E24" s="26" t="s">
        <v>2</v>
      </c>
      <c r="F24" s="90" t="str">
        <f>+F6</f>
        <v>41°16'47.3"N   35°11'32.3"E</v>
      </c>
      <c r="G24" s="90"/>
      <c r="H24" s="90"/>
      <c r="I24" s="26" t="s">
        <v>2</v>
      </c>
      <c r="J24" s="90" t="str">
        <f>+J6</f>
        <v>41°16'27.9"N   35°11'43.1"E</v>
      </c>
      <c r="K24" s="90"/>
      <c r="L24" s="90"/>
    </row>
    <row r="25" spans="1:16" x14ac:dyDescent="0.25">
      <c r="A25" s="26" t="s">
        <v>3</v>
      </c>
      <c r="B25" s="90" t="s">
        <v>7</v>
      </c>
      <c r="C25" s="90"/>
      <c r="D25" s="27" t="s">
        <v>8</v>
      </c>
      <c r="E25" s="26" t="s">
        <v>3</v>
      </c>
      <c r="F25" s="90" t="s">
        <v>7</v>
      </c>
      <c r="G25" s="90"/>
      <c r="H25" s="27" t="s">
        <v>8</v>
      </c>
      <c r="I25" s="26" t="s">
        <v>3</v>
      </c>
      <c r="J25" s="90" t="s">
        <v>7</v>
      </c>
      <c r="K25" s="90"/>
      <c r="L25" s="27" t="s">
        <v>8</v>
      </c>
    </row>
    <row r="26" spans="1:16" x14ac:dyDescent="0.25">
      <c r="A26" s="30" t="s">
        <v>51</v>
      </c>
      <c r="B26" s="88">
        <v>0.63</v>
      </c>
      <c r="C26" s="88"/>
      <c r="D26" s="21">
        <v>31</v>
      </c>
      <c r="E26" s="28" t="s">
        <v>118</v>
      </c>
      <c r="F26" s="87">
        <v>0.43</v>
      </c>
      <c r="G26" s="87"/>
      <c r="H26" s="29">
        <v>30</v>
      </c>
      <c r="I26" s="28" t="s">
        <v>118</v>
      </c>
      <c r="J26" s="87">
        <v>0.46</v>
      </c>
      <c r="K26" s="87"/>
      <c r="L26" s="29">
        <v>30</v>
      </c>
    </row>
    <row r="27" spans="1:16" x14ac:dyDescent="0.25">
      <c r="A27" s="28" t="s">
        <v>9</v>
      </c>
      <c r="B27" s="88">
        <v>1.42</v>
      </c>
      <c r="C27" s="88"/>
      <c r="D27" s="21">
        <v>48</v>
      </c>
      <c r="E27" s="30" t="s">
        <v>9</v>
      </c>
      <c r="F27" s="88">
        <v>1.79</v>
      </c>
      <c r="G27" s="88"/>
      <c r="H27" s="21">
        <v>51</v>
      </c>
      <c r="I27" s="30" t="s">
        <v>9</v>
      </c>
      <c r="J27" s="88">
        <v>1.31</v>
      </c>
      <c r="K27" s="88"/>
      <c r="L27" s="21">
        <v>46</v>
      </c>
    </row>
    <row r="28" spans="1:16" x14ac:dyDescent="0.25">
      <c r="A28" s="28" t="s">
        <v>49</v>
      </c>
      <c r="B28" s="88">
        <v>0.2</v>
      </c>
      <c r="C28" s="88"/>
      <c r="D28" s="21">
        <v>22</v>
      </c>
      <c r="E28" s="30" t="s">
        <v>51</v>
      </c>
      <c r="F28" s="88">
        <v>0.6</v>
      </c>
      <c r="G28" s="88"/>
      <c r="H28" s="21">
        <v>30</v>
      </c>
      <c r="I28" s="28" t="s">
        <v>49</v>
      </c>
      <c r="J28" s="88">
        <v>0.24</v>
      </c>
      <c r="K28" s="88"/>
      <c r="L28" s="21">
        <v>24</v>
      </c>
    </row>
    <row r="29" spans="1:16" x14ac:dyDescent="0.25">
      <c r="A29" s="28" t="s">
        <v>49</v>
      </c>
      <c r="B29" s="88">
        <v>0.22</v>
      </c>
      <c r="C29" s="88"/>
      <c r="D29" s="21">
        <v>23</v>
      </c>
      <c r="E29" s="28" t="s">
        <v>49</v>
      </c>
      <c r="F29" s="88">
        <v>0.24</v>
      </c>
      <c r="G29" s="88"/>
      <c r="H29" s="21">
        <v>23</v>
      </c>
      <c r="I29" s="28" t="s">
        <v>49</v>
      </c>
      <c r="J29" s="88">
        <v>0.23</v>
      </c>
      <c r="K29" s="88"/>
      <c r="L29" s="21">
        <v>23</v>
      </c>
    </row>
    <row r="30" spans="1:16" x14ac:dyDescent="0.25">
      <c r="A30" s="28" t="s">
        <v>118</v>
      </c>
      <c r="B30" s="88">
        <v>0.27</v>
      </c>
      <c r="C30" s="89"/>
      <c r="D30" s="21">
        <v>26</v>
      </c>
      <c r="E30" s="28" t="s">
        <v>49</v>
      </c>
      <c r="F30" s="88">
        <v>0.21</v>
      </c>
      <c r="G30" s="88"/>
      <c r="H30" s="21">
        <v>21</v>
      </c>
      <c r="I30" s="28" t="s">
        <v>68</v>
      </c>
      <c r="J30" s="88">
        <v>0.53</v>
      </c>
      <c r="K30" s="89"/>
      <c r="L30" s="21">
        <v>29</v>
      </c>
    </row>
    <row r="31" spans="1:16" x14ac:dyDescent="0.25">
      <c r="A31" s="28" t="s">
        <v>49</v>
      </c>
      <c r="B31" s="88">
        <v>0.24</v>
      </c>
      <c r="C31" s="88"/>
      <c r="D31" s="21">
        <v>23</v>
      </c>
      <c r="E31" s="28" t="s">
        <v>49</v>
      </c>
      <c r="F31" s="88">
        <v>0.24</v>
      </c>
      <c r="G31" s="88"/>
      <c r="H31" s="21">
        <v>23</v>
      </c>
      <c r="I31" s="28" t="s">
        <v>11</v>
      </c>
      <c r="J31" s="88">
        <v>2.0499999999999998</v>
      </c>
      <c r="K31" s="88"/>
      <c r="L31" s="21">
        <v>58</v>
      </c>
      <c r="P31" s="36"/>
    </row>
    <row r="32" spans="1:16" x14ac:dyDescent="0.25">
      <c r="A32" s="28" t="s">
        <v>49</v>
      </c>
      <c r="B32" s="88">
        <v>0.24</v>
      </c>
      <c r="C32" s="88"/>
      <c r="D32" s="21">
        <v>23</v>
      </c>
      <c r="E32" s="28" t="s">
        <v>49</v>
      </c>
      <c r="F32" s="88">
        <v>0.24</v>
      </c>
      <c r="G32" s="88"/>
      <c r="H32" s="21">
        <v>23</v>
      </c>
      <c r="I32" s="28" t="s">
        <v>49</v>
      </c>
      <c r="J32" s="88">
        <v>0.24</v>
      </c>
      <c r="K32" s="88"/>
      <c r="L32" s="21">
        <v>23</v>
      </c>
      <c r="P32" s="37"/>
    </row>
    <row r="33" spans="1:16" x14ac:dyDescent="0.25">
      <c r="A33" s="28"/>
      <c r="B33" s="88"/>
      <c r="C33" s="89"/>
      <c r="D33" s="21"/>
      <c r="E33" s="28" t="s">
        <v>118</v>
      </c>
      <c r="F33" s="88">
        <v>0.6</v>
      </c>
      <c r="G33" s="89"/>
      <c r="H33" s="21">
        <v>31</v>
      </c>
      <c r="I33" s="28" t="s">
        <v>118</v>
      </c>
      <c r="J33" s="88">
        <v>0.61</v>
      </c>
      <c r="K33" s="89"/>
      <c r="L33" s="21">
        <v>32</v>
      </c>
      <c r="P33" s="37"/>
    </row>
    <row r="34" spans="1:16" x14ac:dyDescent="0.25">
      <c r="A34" s="28" t="s">
        <v>9</v>
      </c>
      <c r="B34" s="88">
        <v>1.3660000000000001</v>
      </c>
      <c r="C34" s="88"/>
      <c r="D34" s="21">
        <v>45</v>
      </c>
      <c r="E34" s="30" t="s">
        <v>9</v>
      </c>
      <c r="F34" s="88">
        <v>0.95</v>
      </c>
      <c r="G34" s="89"/>
      <c r="H34" s="21">
        <v>38</v>
      </c>
      <c r="I34" s="28" t="s">
        <v>9</v>
      </c>
      <c r="J34" s="88">
        <v>1.42</v>
      </c>
      <c r="K34" s="88"/>
      <c r="L34" s="21">
        <v>48</v>
      </c>
    </row>
    <row r="35" spans="1:16" x14ac:dyDescent="0.25">
      <c r="A35" s="28"/>
      <c r="B35" s="87"/>
      <c r="C35" s="87"/>
      <c r="D35" s="38"/>
      <c r="E35" s="30"/>
      <c r="F35" s="88"/>
      <c r="G35" s="89"/>
      <c r="H35" s="21"/>
      <c r="I35" s="30"/>
      <c r="J35" s="88"/>
      <c r="K35" s="89"/>
      <c r="L35" s="21"/>
    </row>
    <row r="36" spans="1:16" x14ac:dyDescent="0.25">
      <c r="A36" s="26" t="s">
        <v>12</v>
      </c>
      <c r="B36" s="83">
        <f>+SUM(B26:B35)</f>
        <v>4.5860000000000003</v>
      </c>
      <c r="C36" s="83"/>
      <c r="D36" s="39"/>
      <c r="E36" s="26" t="s">
        <v>12</v>
      </c>
      <c r="F36" s="84">
        <f>SUM(F26:G35)</f>
        <v>5.3000000000000007</v>
      </c>
      <c r="G36" s="85"/>
      <c r="H36" s="32"/>
      <c r="I36" s="26" t="s">
        <v>12</v>
      </c>
      <c r="J36" s="84">
        <f>SUM(J26:K35)</f>
        <v>7.09</v>
      </c>
      <c r="K36" s="85"/>
      <c r="L36" s="32"/>
    </row>
    <row r="37" spans="1:16" x14ac:dyDescent="0.25">
      <c r="A37" s="86">
        <f>+B36+F36+J36</f>
        <v>16.975999999999999</v>
      </c>
      <c r="B37" s="86"/>
      <c r="C37" s="86"/>
      <c r="D37" s="86"/>
      <c r="E37" s="86"/>
      <c r="F37" s="86"/>
      <c r="G37" s="86"/>
      <c r="H37" s="86"/>
      <c r="I37" s="86"/>
      <c r="J37" s="86"/>
      <c r="K37" s="86"/>
      <c r="L37" s="86"/>
    </row>
    <row r="38" spans="1:16" x14ac:dyDescent="0.25">
      <c r="A38" s="28"/>
      <c r="B38" s="40"/>
      <c r="C38" s="38"/>
      <c r="D38" s="38"/>
      <c r="E38" s="41"/>
      <c r="F38" s="40"/>
      <c r="G38" s="38"/>
      <c r="H38" s="28"/>
      <c r="I38" s="40"/>
      <c r="J38" s="38"/>
      <c r="K38" s="38"/>
      <c r="L38" s="38"/>
    </row>
    <row r="39" spans="1:16" x14ac:dyDescent="0.25">
      <c r="A39" s="23" t="s">
        <v>62</v>
      </c>
      <c r="B39" s="91" t="s">
        <v>0</v>
      </c>
      <c r="C39" s="91"/>
      <c r="D39" s="91"/>
      <c r="E39" s="24" t="str">
        <f>+A39</f>
        <v>08.12.2021</v>
      </c>
      <c r="F39" s="91" t="s">
        <v>119</v>
      </c>
      <c r="G39" s="91"/>
      <c r="H39" s="91"/>
      <c r="I39" s="24" t="str">
        <f>+A39</f>
        <v>08.12.2021</v>
      </c>
      <c r="J39" s="91" t="s">
        <v>120</v>
      </c>
      <c r="K39" s="91"/>
      <c r="L39" s="91"/>
    </row>
    <row r="40" spans="1:16" x14ac:dyDescent="0.25">
      <c r="A40" s="92" t="s">
        <v>1</v>
      </c>
      <c r="B40" s="25" t="s">
        <v>44</v>
      </c>
      <c r="C40" s="25" t="s">
        <v>43</v>
      </c>
      <c r="D40" s="25" t="s">
        <v>42</v>
      </c>
      <c r="E40" s="92" t="s">
        <v>1</v>
      </c>
      <c r="F40" s="25" t="s">
        <v>44</v>
      </c>
      <c r="G40" s="25" t="s">
        <v>43</v>
      </c>
      <c r="H40" s="25" t="s">
        <v>42</v>
      </c>
      <c r="I40" s="92" t="s">
        <v>1</v>
      </c>
      <c r="J40" s="25" t="s">
        <v>44</v>
      </c>
      <c r="K40" s="25" t="s">
        <v>43</v>
      </c>
      <c r="L40" s="25" t="s">
        <v>42</v>
      </c>
    </row>
    <row r="41" spans="1:16" x14ac:dyDescent="0.25">
      <c r="A41" s="92"/>
      <c r="B41" s="25">
        <f>+B23</f>
        <v>200</v>
      </c>
      <c r="C41" s="25">
        <f>+C23</f>
        <v>10</v>
      </c>
      <c r="D41" s="25">
        <f>+D23</f>
        <v>70</v>
      </c>
      <c r="E41" s="92"/>
      <c r="F41" s="25">
        <f>+F23</f>
        <v>200</v>
      </c>
      <c r="G41" s="25">
        <f>+G23</f>
        <v>5</v>
      </c>
      <c r="H41" s="25">
        <f>+H23</f>
        <v>70</v>
      </c>
      <c r="I41" s="92"/>
      <c r="J41" s="25">
        <f>+J23</f>
        <v>150</v>
      </c>
      <c r="K41" s="25">
        <f>+K23</f>
        <v>5</v>
      </c>
      <c r="L41" s="25">
        <f>+L23</f>
        <v>70</v>
      </c>
    </row>
    <row r="42" spans="1:16" x14ac:dyDescent="0.25">
      <c r="A42" s="35" t="s">
        <v>2</v>
      </c>
      <c r="B42" s="90" t="str">
        <f>+B24</f>
        <v>41°17'08.9"N   35°11'38.3"E</v>
      </c>
      <c r="C42" s="90"/>
      <c r="D42" s="90"/>
      <c r="E42" s="26" t="s">
        <v>2</v>
      </c>
      <c r="F42" s="90" t="str">
        <f>+F24</f>
        <v>41°16'47.3"N   35°11'32.3"E</v>
      </c>
      <c r="G42" s="90"/>
      <c r="H42" s="90"/>
      <c r="I42" s="26" t="s">
        <v>2</v>
      </c>
      <c r="J42" s="90" t="str">
        <f>+J24</f>
        <v>41°16'27.9"N   35°11'43.1"E</v>
      </c>
      <c r="K42" s="90"/>
      <c r="L42" s="90"/>
    </row>
    <row r="43" spans="1:16" x14ac:dyDescent="0.25">
      <c r="A43" s="26" t="s">
        <v>3</v>
      </c>
      <c r="B43" s="90" t="s">
        <v>7</v>
      </c>
      <c r="C43" s="90"/>
      <c r="D43" s="27" t="s">
        <v>8</v>
      </c>
      <c r="E43" s="26" t="s">
        <v>3</v>
      </c>
      <c r="F43" s="90" t="s">
        <v>7</v>
      </c>
      <c r="G43" s="90"/>
      <c r="H43" s="27" t="s">
        <v>8</v>
      </c>
      <c r="I43" s="26" t="s">
        <v>3</v>
      </c>
      <c r="J43" s="90" t="s">
        <v>7</v>
      </c>
      <c r="K43" s="90"/>
      <c r="L43" s="27" t="s">
        <v>8</v>
      </c>
    </row>
    <row r="44" spans="1:16" x14ac:dyDescent="0.25">
      <c r="A44" s="28" t="s">
        <v>118</v>
      </c>
      <c r="B44" s="88">
        <v>0.62</v>
      </c>
      <c r="C44" s="89"/>
      <c r="D44" s="21">
        <v>33</v>
      </c>
      <c r="E44" s="28" t="s">
        <v>118</v>
      </c>
      <c r="F44" s="87">
        <v>0.74</v>
      </c>
      <c r="G44" s="87"/>
      <c r="H44" s="29">
        <v>35</v>
      </c>
      <c r="I44" s="30" t="s">
        <v>9</v>
      </c>
      <c r="J44" s="88">
        <v>1.25</v>
      </c>
      <c r="K44" s="89"/>
      <c r="L44" s="21">
        <v>43</v>
      </c>
    </row>
    <row r="45" spans="1:16" x14ac:dyDescent="0.25">
      <c r="A45" s="28" t="s">
        <v>9</v>
      </c>
      <c r="B45" s="87">
        <v>1.31</v>
      </c>
      <c r="C45" s="87"/>
      <c r="D45" s="29">
        <v>47</v>
      </c>
      <c r="E45" s="30" t="s">
        <v>9</v>
      </c>
      <c r="F45" s="88">
        <v>1.31</v>
      </c>
      <c r="G45" s="88"/>
      <c r="H45" s="21">
        <v>47</v>
      </c>
      <c r="I45" s="28" t="s">
        <v>49</v>
      </c>
      <c r="J45" s="88">
        <v>0.23</v>
      </c>
      <c r="K45" s="88"/>
      <c r="L45" s="21">
        <v>22</v>
      </c>
    </row>
    <row r="46" spans="1:16" x14ac:dyDescent="0.25">
      <c r="A46" s="28" t="s">
        <v>10</v>
      </c>
      <c r="B46" s="87">
        <v>1.85</v>
      </c>
      <c r="C46" s="87"/>
      <c r="D46" s="29">
        <v>67</v>
      </c>
      <c r="E46" s="28" t="s">
        <v>49</v>
      </c>
      <c r="F46" s="88">
        <v>0.22</v>
      </c>
      <c r="G46" s="88"/>
      <c r="H46" s="21">
        <v>22</v>
      </c>
      <c r="I46" s="28" t="s">
        <v>49</v>
      </c>
      <c r="J46" s="88">
        <v>0.24</v>
      </c>
      <c r="K46" s="88"/>
      <c r="L46" s="21">
        <v>24</v>
      </c>
    </row>
    <row r="47" spans="1:16" x14ac:dyDescent="0.25">
      <c r="A47" s="28" t="s">
        <v>49</v>
      </c>
      <c r="B47" s="88">
        <v>0.24</v>
      </c>
      <c r="C47" s="88"/>
      <c r="D47" s="21">
        <v>25</v>
      </c>
      <c r="E47" s="28" t="s">
        <v>49</v>
      </c>
      <c r="F47" s="88">
        <v>0.24</v>
      </c>
      <c r="G47" s="88"/>
      <c r="H47" s="21">
        <v>24</v>
      </c>
      <c r="I47" s="30" t="s">
        <v>51</v>
      </c>
      <c r="J47" s="88">
        <v>0.72</v>
      </c>
      <c r="K47" s="88"/>
      <c r="L47" s="21">
        <v>34</v>
      </c>
    </row>
    <row r="48" spans="1:16" x14ac:dyDescent="0.25">
      <c r="A48" s="28" t="s">
        <v>49</v>
      </c>
      <c r="B48" s="88">
        <v>0.23</v>
      </c>
      <c r="C48" s="88"/>
      <c r="D48" s="21">
        <v>24</v>
      </c>
      <c r="E48" s="28" t="s">
        <v>68</v>
      </c>
      <c r="F48" s="88">
        <v>0.49</v>
      </c>
      <c r="G48" s="89"/>
      <c r="H48" s="21">
        <v>25</v>
      </c>
      <c r="I48" s="30"/>
      <c r="J48" s="88"/>
      <c r="K48" s="89"/>
      <c r="L48" s="21"/>
    </row>
    <row r="49" spans="1:12" x14ac:dyDescent="0.25">
      <c r="A49" s="30" t="s">
        <v>51</v>
      </c>
      <c r="B49" s="88">
        <v>0.66</v>
      </c>
      <c r="C49" s="88"/>
      <c r="D49" s="21">
        <v>32</v>
      </c>
      <c r="E49" s="30"/>
      <c r="F49" s="88"/>
      <c r="G49" s="89"/>
      <c r="H49" s="21"/>
      <c r="I49" s="30"/>
      <c r="J49" s="88"/>
      <c r="K49" s="89"/>
      <c r="L49" s="21"/>
    </row>
    <row r="50" spans="1:12" x14ac:dyDescent="0.25">
      <c r="A50" s="28"/>
      <c r="B50" s="87"/>
      <c r="C50" s="87"/>
      <c r="D50" s="29"/>
      <c r="E50" s="30"/>
      <c r="F50" s="88"/>
      <c r="G50" s="89"/>
      <c r="H50" s="21"/>
      <c r="I50" s="30"/>
      <c r="J50" s="88"/>
      <c r="K50" s="89"/>
      <c r="L50" s="21"/>
    </row>
    <row r="51" spans="1:12" x14ac:dyDescent="0.25">
      <c r="A51" s="28"/>
      <c r="B51" s="87"/>
      <c r="C51" s="87"/>
      <c r="D51" s="29"/>
      <c r="E51" s="30"/>
      <c r="F51" s="88"/>
      <c r="G51" s="89"/>
      <c r="H51" s="21"/>
      <c r="I51" s="30"/>
      <c r="J51" s="88"/>
      <c r="K51" s="89"/>
      <c r="L51" s="21"/>
    </row>
    <row r="52" spans="1:12" x14ac:dyDescent="0.25">
      <c r="A52" s="28"/>
      <c r="B52" s="87"/>
      <c r="C52" s="87"/>
      <c r="D52" s="29"/>
      <c r="E52" s="30"/>
      <c r="F52" s="88"/>
      <c r="G52" s="89"/>
      <c r="H52" s="21"/>
      <c r="I52" s="30"/>
      <c r="J52" s="88"/>
      <c r="K52" s="89"/>
      <c r="L52" s="21"/>
    </row>
    <row r="53" spans="1:12" x14ac:dyDescent="0.25">
      <c r="A53" s="28"/>
      <c r="B53" s="87"/>
      <c r="C53" s="87"/>
      <c r="D53" s="29"/>
      <c r="E53" s="30"/>
      <c r="F53" s="88"/>
      <c r="G53" s="89"/>
      <c r="H53" s="21"/>
      <c r="I53" s="30"/>
      <c r="J53" s="88"/>
      <c r="K53" s="89"/>
      <c r="L53" s="21"/>
    </row>
    <row r="54" spans="1:12" x14ac:dyDescent="0.25">
      <c r="A54" s="26" t="s">
        <v>12</v>
      </c>
      <c r="B54" s="83">
        <f>+SUM(B44:B53)</f>
        <v>4.910000000000001</v>
      </c>
      <c r="C54" s="83"/>
      <c r="D54" s="39"/>
      <c r="E54" s="26" t="s">
        <v>12</v>
      </c>
      <c r="F54" s="84">
        <f>SUM(F44:G53)</f>
        <v>3</v>
      </c>
      <c r="G54" s="85"/>
      <c r="H54" s="32"/>
      <c r="I54" s="26" t="s">
        <v>12</v>
      </c>
      <c r="J54" s="84">
        <f>SUM(J44:K53)</f>
        <v>2.44</v>
      </c>
      <c r="K54" s="85"/>
      <c r="L54" s="32"/>
    </row>
    <row r="55" spans="1:12" x14ac:dyDescent="0.25">
      <c r="A55" s="86">
        <f>+B54+F54+J54</f>
        <v>10.350000000000001</v>
      </c>
      <c r="B55" s="86"/>
      <c r="C55" s="86"/>
      <c r="D55" s="86"/>
      <c r="E55" s="86"/>
      <c r="F55" s="86"/>
      <c r="G55" s="86"/>
      <c r="H55" s="86"/>
      <c r="I55" s="86"/>
      <c r="J55" s="86"/>
      <c r="K55" s="86"/>
      <c r="L55" s="86"/>
    </row>
    <row r="56" spans="1:12" x14ac:dyDescent="0.25">
      <c r="A56" s="28"/>
      <c r="B56" s="40"/>
      <c r="C56" s="38"/>
      <c r="D56" s="38"/>
      <c r="E56" s="41"/>
      <c r="F56" s="40"/>
      <c r="G56" s="38"/>
      <c r="H56" s="28"/>
      <c r="I56" s="40"/>
      <c r="J56" s="38"/>
      <c r="K56" s="38"/>
      <c r="L56" s="38"/>
    </row>
    <row r="57" spans="1:12" x14ac:dyDescent="0.25">
      <c r="A57" s="22" t="s">
        <v>4</v>
      </c>
      <c r="H57" s="28"/>
    </row>
    <row r="58" spans="1:12" x14ac:dyDescent="0.25">
      <c r="A58" s="22" t="s">
        <v>5</v>
      </c>
      <c r="H58" s="28"/>
    </row>
    <row r="59" spans="1:12" x14ac:dyDescent="0.25">
      <c r="A59" s="22" t="s">
        <v>69</v>
      </c>
      <c r="H59" s="28"/>
    </row>
    <row r="60" spans="1:12" x14ac:dyDescent="0.25">
      <c r="A60" s="22" t="s">
        <v>6</v>
      </c>
      <c r="H60" s="28"/>
    </row>
    <row r="61" spans="1:12" x14ac:dyDescent="0.25">
      <c r="H61" s="28"/>
    </row>
    <row r="62" spans="1:12" x14ac:dyDescent="0.25">
      <c r="H62" s="28"/>
    </row>
    <row r="63" spans="1:12" x14ac:dyDescent="0.25">
      <c r="H63" s="28"/>
    </row>
    <row r="64" spans="1:12" x14ac:dyDescent="0.25">
      <c r="H64" s="28"/>
    </row>
    <row r="65" spans="8:8" x14ac:dyDescent="0.25">
      <c r="H65" s="28"/>
    </row>
  </sheetData>
  <mergeCells count="139">
    <mergeCell ref="A4:A5"/>
    <mergeCell ref="B6:D6"/>
    <mergeCell ref="E4:E5"/>
    <mergeCell ref="F6:H6"/>
    <mergeCell ref="A22:A23"/>
    <mergeCell ref="B7:C7"/>
    <mergeCell ref="B8:C8"/>
    <mergeCell ref="B9:C9"/>
    <mergeCell ref="B10:C10"/>
    <mergeCell ref="B21:D21"/>
    <mergeCell ref="B11:C11"/>
    <mergeCell ref="B12:C12"/>
    <mergeCell ref="B13:C13"/>
    <mergeCell ref="B14:C14"/>
    <mergeCell ref="B15:C15"/>
    <mergeCell ref="B27:C27"/>
    <mergeCell ref="B28:C28"/>
    <mergeCell ref="B29:C29"/>
    <mergeCell ref="B30:C30"/>
    <mergeCell ref="B31:C31"/>
    <mergeCell ref="B32:C32"/>
    <mergeCell ref="B33:C33"/>
    <mergeCell ref="B34:C34"/>
    <mergeCell ref="B35:C35"/>
    <mergeCell ref="B24:D24"/>
    <mergeCell ref="B25:C25"/>
    <mergeCell ref="B26:C26"/>
    <mergeCell ref="F7:G7"/>
    <mergeCell ref="F8:G8"/>
    <mergeCell ref="F9:G9"/>
    <mergeCell ref="F10:G10"/>
    <mergeCell ref="F11:G11"/>
    <mergeCell ref="B16:C16"/>
    <mergeCell ref="B17:C17"/>
    <mergeCell ref="B18:C18"/>
    <mergeCell ref="E22:E23"/>
    <mergeCell ref="J13:K13"/>
    <mergeCell ref="J14:K14"/>
    <mergeCell ref="J15:K15"/>
    <mergeCell ref="J16:K16"/>
    <mergeCell ref="F12:G12"/>
    <mergeCell ref="F13:G13"/>
    <mergeCell ref="F14:G14"/>
    <mergeCell ref="F15:G15"/>
    <mergeCell ref="F16:G16"/>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B3:D3"/>
    <mergeCell ref="F29:G29"/>
    <mergeCell ref="J29:K29"/>
    <mergeCell ref="F30:G30"/>
    <mergeCell ref="J30:K30"/>
    <mergeCell ref="F31:G31"/>
    <mergeCell ref="J31:K31"/>
    <mergeCell ref="J26:K26"/>
    <mergeCell ref="F27:G27"/>
    <mergeCell ref="J27:K27"/>
    <mergeCell ref="F28:G28"/>
    <mergeCell ref="J28:K28"/>
    <mergeCell ref="F26:G26"/>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B36:C36"/>
    <mergeCell ref="B42:D42"/>
    <mergeCell ref="F42:H42"/>
    <mergeCell ref="J42:L42"/>
    <mergeCell ref="B43:C43"/>
    <mergeCell ref="F43:G43"/>
    <mergeCell ref="J43:K43"/>
    <mergeCell ref="B39:D39"/>
    <mergeCell ref="F39:H39"/>
    <mergeCell ref="J39:L39"/>
    <mergeCell ref="B46:C46"/>
    <mergeCell ref="F46:G46"/>
    <mergeCell ref="J46:K46"/>
    <mergeCell ref="B47:C47"/>
    <mergeCell ref="F47:G47"/>
    <mergeCell ref="J47:K47"/>
    <mergeCell ref="B44:C44"/>
    <mergeCell ref="F44:G44"/>
    <mergeCell ref="J44:K44"/>
    <mergeCell ref="B45:C45"/>
    <mergeCell ref="F45:G45"/>
    <mergeCell ref="J45:K45"/>
    <mergeCell ref="B50:C50"/>
    <mergeCell ref="F50:G50"/>
    <mergeCell ref="J50:K50"/>
    <mergeCell ref="B51:C51"/>
    <mergeCell ref="F51:G51"/>
    <mergeCell ref="J51:K51"/>
    <mergeCell ref="B48:C48"/>
    <mergeCell ref="F48:G48"/>
    <mergeCell ref="J48:K48"/>
    <mergeCell ref="B49:C49"/>
    <mergeCell ref="F49:G49"/>
    <mergeCell ref="J49:K49"/>
    <mergeCell ref="B54:C54"/>
    <mergeCell ref="F54:G54"/>
    <mergeCell ref="J54:K54"/>
    <mergeCell ref="A55:L55"/>
    <mergeCell ref="B52:C52"/>
    <mergeCell ref="F52:G52"/>
    <mergeCell ref="J52:K52"/>
    <mergeCell ref="B53:C53"/>
    <mergeCell ref="F53:G53"/>
    <mergeCell ref="J53:K53"/>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66"/>
  <sheetViews>
    <sheetView zoomScaleNormal="100" workbookViewId="0">
      <selection activeCell="I6" sqref="I6"/>
    </sheetView>
  </sheetViews>
  <sheetFormatPr defaultColWidth="9.140625" defaultRowHeight="15" x14ac:dyDescent="0.25"/>
  <cols>
    <col min="1" max="1" width="10" style="1" customWidth="1"/>
    <col min="2" max="2" width="15" style="1" customWidth="1"/>
    <col min="3" max="3" width="13.7109375" style="1" customWidth="1"/>
    <col min="4" max="4" width="12.140625" style="1" customWidth="1"/>
    <col min="5" max="5" width="11.85546875" style="1" customWidth="1"/>
    <col min="6" max="6" width="10.140625" style="1" bestFit="1" customWidth="1"/>
    <col min="7" max="9" width="11.85546875" style="1" customWidth="1"/>
    <col min="10" max="12" width="12.85546875" style="1" customWidth="1"/>
    <col min="13" max="14" width="9.28515625" style="1" bestFit="1" customWidth="1"/>
    <col min="15" max="15" width="14.28515625" style="1" customWidth="1"/>
    <col min="16" max="20" width="14" style="1" bestFit="1" customWidth="1"/>
    <col min="21" max="21" width="16.7109375" style="1" customWidth="1"/>
    <col min="22" max="16384" width="9.140625" style="1"/>
  </cols>
  <sheetData>
    <row r="1" spans="1:20" x14ac:dyDescent="0.25">
      <c r="B1" s="94" t="s">
        <v>31</v>
      </c>
      <c r="C1" s="94"/>
      <c r="D1" s="94"/>
      <c r="E1" s="94" t="s">
        <v>67</v>
      </c>
      <c r="F1" s="94"/>
      <c r="G1" s="94"/>
      <c r="H1" s="11">
        <f>+I1/1000000</f>
        <v>23</v>
      </c>
      <c r="I1" s="96">
        <f>+C2+C3+C4</f>
        <v>23000000</v>
      </c>
      <c r="J1" s="96"/>
    </row>
    <row r="2" spans="1:20" x14ac:dyDescent="0.25">
      <c r="A2" s="1" t="s">
        <v>32</v>
      </c>
      <c r="B2" s="8">
        <v>8</v>
      </c>
      <c r="C2" s="96">
        <f>+B2*1000000</f>
        <v>8000000</v>
      </c>
      <c r="D2" s="96"/>
      <c r="E2" s="94" t="s">
        <v>13</v>
      </c>
      <c r="F2" s="94"/>
      <c r="G2" s="94"/>
      <c r="H2" s="93">
        <v>150</v>
      </c>
      <c r="I2" s="93"/>
    </row>
    <row r="3" spans="1:20" ht="15" customHeight="1" x14ac:dyDescent="0.25">
      <c r="A3" s="1" t="s">
        <v>34</v>
      </c>
      <c r="B3" s="8">
        <v>8</v>
      </c>
      <c r="C3" s="96">
        <f t="shared" ref="C3:C4" si="0">+B3*1000000</f>
        <v>8000000</v>
      </c>
      <c r="D3" s="96"/>
      <c r="E3" s="94" t="s">
        <v>14</v>
      </c>
      <c r="F3" s="94"/>
      <c r="G3" s="94"/>
      <c r="H3" s="93" t="str">
        <f>+CONCATENATE(B35,", ",B36,", ",B37,", ",B38,", ",B39,", ",B40,", ",B41," ","vs.")</f>
        <v>C.carpio, S. glanis, S. lucioperca, Capoeta sp., S.cephalus, Barbus sp., C.gibelio vs.</v>
      </c>
      <c r="I3" s="93"/>
      <c r="J3" s="93"/>
      <c r="K3" s="93"/>
      <c r="L3" s="93"/>
      <c r="P3" s="6"/>
      <c r="Q3" s="6"/>
      <c r="R3" s="6"/>
      <c r="S3" s="6"/>
      <c r="T3" s="6"/>
    </row>
    <row r="4" spans="1:20" x14ac:dyDescent="0.25">
      <c r="A4" s="1" t="s">
        <v>36</v>
      </c>
      <c r="B4" s="8">
        <v>7</v>
      </c>
      <c r="C4" s="96">
        <f t="shared" si="0"/>
        <v>7000000</v>
      </c>
      <c r="D4" s="96"/>
      <c r="H4" s="93"/>
      <c r="I4" s="93"/>
      <c r="J4" s="93"/>
      <c r="K4" s="93"/>
      <c r="L4" s="93"/>
    </row>
    <row r="5" spans="1:20" ht="30" customHeight="1" x14ac:dyDescent="0.25"/>
    <row r="6" spans="1:20" ht="29.25" customHeight="1" x14ac:dyDescent="0.25">
      <c r="A6" s="1" t="s">
        <v>18</v>
      </c>
      <c r="B6" s="1" t="s">
        <v>19</v>
      </c>
      <c r="C6" s="1" t="s">
        <v>20</v>
      </c>
      <c r="D6" s="1" t="s">
        <v>21</v>
      </c>
      <c r="E6" s="1" t="s">
        <v>22</v>
      </c>
      <c r="F6" s="1" t="s">
        <v>23</v>
      </c>
      <c r="G6" s="1" t="s">
        <v>24</v>
      </c>
    </row>
    <row r="7" spans="1:20" x14ac:dyDescent="0.25">
      <c r="A7" s="1">
        <v>1</v>
      </c>
      <c r="B7" s="1">
        <f>+Sayfa2!D5</f>
        <v>70</v>
      </c>
      <c r="C7" s="1">
        <f>+Sayfa2!B5</f>
        <v>200</v>
      </c>
      <c r="E7" s="1">
        <f>+Sayfa2!C5</f>
        <v>10</v>
      </c>
      <c r="F7" s="1">
        <f>C7*E7</f>
        <v>2000</v>
      </c>
      <c r="G7" s="94">
        <f>SUM(F7:F9)</f>
        <v>3750</v>
      </c>
    </row>
    <row r="8" spans="1:20" x14ac:dyDescent="0.25">
      <c r="A8" s="1">
        <v>2</v>
      </c>
      <c r="B8" s="1">
        <f>+Sayfa2!H5</f>
        <v>70</v>
      </c>
      <c r="C8" s="1">
        <f>+Sayfa2!F5</f>
        <v>200</v>
      </c>
      <c r="E8" s="1">
        <f>+Sayfa2!G5</f>
        <v>5</v>
      </c>
      <c r="F8" s="1">
        <f t="shared" ref="F8:F9" si="1">C8*E8</f>
        <v>1000</v>
      </c>
      <c r="G8" s="94"/>
    </row>
    <row r="9" spans="1:20" x14ac:dyDescent="0.25">
      <c r="A9" s="1">
        <v>3</v>
      </c>
      <c r="B9" s="1">
        <f>+Sayfa2!L5</f>
        <v>70</v>
      </c>
      <c r="C9" s="1">
        <f>+Sayfa2!J5</f>
        <v>150</v>
      </c>
      <c r="E9" s="1">
        <f>+Sayfa2!K5</f>
        <v>5</v>
      </c>
      <c r="F9" s="1">
        <f t="shared" si="1"/>
        <v>750</v>
      </c>
      <c r="G9" s="94"/>
    </row>
    <row r="10" spans="1:20" x14ac:dyDescent="0.25">
      <c r="B10" s="2">
        <f>+ROUND(AVERAGE(B7:B9),0)</f>
        <v>70</v>
      </c>
    </row>
    <row r="11" spans="1:20" x14ac:dyDescent="0.25">
      <c r="D11" s="94" t="s">
        <v>15</v>
      </c>
      <c r="E11" s="94"/>
      <c r="F11" s="94"/>
      <c r="G11" s="94" t="s">
        <v>16</v>
      </c>
      <c r="H11" s="94"/>
      <c r="I11" s="94"/>
      <c r="J11" s="94" t="s">
        <v>17</v>
      </c>
      <c r="K11" s="94"/>
      <c r="L11" s="94"/>
    </row>
    <row r="12" spans="1:20" ht="32.25" x14ac:dyDescent="0.25">
      <c r="A12" s="1" t="s">
        <v>25</v>
      </c>
      <c r="B12" s="1" t="s">
        <v>26</v>
      </c>
      <c r="C12" s="1" t="s">
        <v>27</v>
      </c>
      <c r="D12" s="1" t="s">
        <v>28</v>
      </c>
      <c r="E12" s="1" t="s">
        <v>29</v>
      </c>
      <c r="F12" s="1" t="s">
        <v>30</v>
      </c>
      <c r="G12" s="1" t="s">
        <v>28</v>
      </c>
      <c r="H12" s="1" t="s">
        <v>29</v>
      </c>
      <c r="I12" s="1" t="s">
        <v>30</v>
      </c>
      <c r="J12" s="1" t="s">
        <v>28</v>
      </c>
      <c r="K12" s="1" t="s">
        <v>29</v>
      </c>
      <c r="L12" s="1" t="s">
        <v>30</v>
      </c>
    </row>
    <row r="13" spans="1:20" x14ac:dyDescent="0.25">
      <c r="B13" s="3" t="str">
        <f>+Sayfa2!A3</f>
        <v>03.12.2021</v>
      </c>
      <c r="C13" s="94">
        <f>G7</f>
        <v>3750</v>
      </c>
      <c r="D13" s="7">
        <f>+Sayfa2!B18</f>
        <v>4.5200000000000005</v>
      </c>
      <c r="E13" s="7">
        <f>+Sayfa2!F18</f>
        <v>7.4</v>
      </c>
      <c r="F13" s="7">
        <f>+Sayfa2!J18</f>
        <v>5.3599999999999994</v>
      </c>
      <c r="G13" s="9">
        <f t="shared" ref="G13:G23" si="2">D13/$C$13</f>
        <v>1.2053333333333334E-3</v>
      </c>
      <c r="H13" s="9">
        <f t="shared" ref="H13:H23" si="3">E13/$C$13</f>
        <v>1.9733333333333334E-3</v>
      </c>
      <c r="I13" s="9">
        <f t="shared" ref="I13:I23" si="4">F13/$C$13</f>
        <v>1.4293333333333332E-3</v>
      </c>
      <c r="J13" s="10">
        <f t="shared" ref="J13:J23" si="5">G13*$C$2</f>
        <v>9642.6666666666679</v>
      </c>
      <c r="K13" s="10">
        <f t="shared" ref="K13:K23" si="6">H13*$C$3</f>
        <v>15786.666666666668</v>
      </c>
      <c r="L13" s="10">
        <f t="shared" ref="L13:L23" si="7">I13*$C$4</f>
        <v>10005.333333333332</v>
      </c>
    </row>
    <row r="14" spans="1:20" x14ac:dyDescent="0.25">
      <c r="B14" s="3" t="str">
        <f>+Sayfa2!A21</f>
        <v>07.12.2021</v>
      </c>
      <c r="C14" s="94"/>
      <c r="D14" s="7">
        <f>+Sayfa2!B36</f>
        <v>4.5860000000000003</v>
      </c>
      <c r="E14" s="7">
        <f>+Sayfa2!F36</f>
        <v>5.3000000000000007</v>
      </c>
      <c r="F14" s="7">
        <f>+Sayfa2!J36</f>
        <v>7.09</v>
      </c>
      <c r="G14" s="9">
        <f t="shared" si="2"/>
        <v>1.2229333333333334E-3</v>
      </c>
      <c r="H14" s="9">
        <f t="shared" si="3"/>
        <v>1.4133333333333335E-3</v>
      </c>
      <c r="I14" s="9">
        <f t="shared" si="4"/>
        <v>1.8906666666666666E-3</v>
      </c>
      <c r="J14" s="10">
        <f t="shared" si="5"/>
        <v>9783.4666666666672</v>
      </c>
      <c r="K14" s="10">
        <f t="shared" si="6"/>
        <v>11306.666666666668</v>
      </c>
      <c r="L14" s="10">
        <f t="shared" si="7"/>
        <v>13234.666666666666</v>
      </c>
    </row>
    <row r="15" spans="1:20" x14ac:dyDescent="0.25">
      <c r="B15" s="3" t="str">
        <f>+Sayfa2!A39</f>
        <v>08.12.2021</v>
      </c>
      <c r="C15" s="94"/>
      <c r="D15" s="7">
        <f>+Sayfa2!B54</f>
        <v>4.910000000000001</v>
      </c>
      <c r="E15" s="7">
        <f>+Sayfa2!F54</f>
        <v>3</v>
      </c>
      <c r="F15" s="7">
        <f>+Sayfa2!J54</f>
        <v>2.44</v>
      </c>
      <c r="G15" s="9">
        <f t="shared" si="2"/>
        <v>1.3093333333333336E-3</v>
      </c>
      <c r="H15" s="9">
        <f t="shared" si="3"/>
        <v>8.0000000000000004E-4</v>
      </c>
      <c r="I15" s="9">
        <f t="shared" si="4"/>
        <v>6.5066666666666669E-4</v>
      </c>
      <c r="J15" s="10">
        <f t="shared" si="5"/>
        <v>10474.666666666668</v>
      </c>
      <c r="K15" s="10">
        <f t="shared" si="6"/>
        <v>6400</v>
      </c>
      <c r="L15" s="10">
        <f t="shared" si="7"/>
        <v>4554.666666666667</v>
      </c>
    </row>
    <row r="16" spans="1:20" hidden="1" x14ac:dyDescent="0.25">
      <c r="B16" s="3"/>
      <c r="C16" s="94"/>
      <c r="G16" s="9">
        <f t="shared" si="2"/>
        <v>0</v>
      </c>
      <c r="H16" s="9">
        <f t="shared" si="3"/>
        <v>0</v>
      </c>
      <c r="I16" s="9">
        <f t="shared" si="4"/>
        <v>0</v>
      </c>
      <c r="J16" s="10">
        <f t="shared" si="5"/>
        <v>0</v>
      </c>
      <c r="K16" s="10">
        <f t="shared" si="6"/>
        <v>0</v>
      </c>
      <c r="L16" s="10">
        <f t="shared" si="7"/>
        <v>0</v>
      </c>
    </row>
    <row r="17" spans="1:15" hidden="1" x14ac:dyDescent="0.25">
      <c r="B17" s="3"/>
      <c r="C17" s="94"/>
      <c r="G17" s="9">
        <f t="shared" si="2"/>
        <v>0</v>
      </c>
      <c r="H17" s="9">
        <f t="shared" si="3"/>
        <v>0</v>
      </c>
      <c r="I17" s="9">
        <f t="shared" si="4"/>
        <v>0</v>
      </c>
      <c r="J17" s="10">
        <f t="shared" si="5"/>
        <v>0</v>
      </c>
      <c r="K17" s="10">
        <f t="shared" si="6"/>
        <v>0</v>
      </c>
      <c r="L17" s="10">
        <f t="shared" si="7"/>
        <v>0</v>
      </c>
    </row>
    <row r="18" spans="1:15" hidden="1" x14ac:dyDescent="0.25">
      <c r="B18" s="3"/>
      <c r="C18" s="94"/>
      <c r="G18" s="9">
        <f t="shared" si="2"/>
        <v>0</v>
      </c>
      <c r="H18" s="9">
        <f t="shared" si="3"/>
        <v>0</v>
      </c>
      <c r="I18" s="9">
        <f t="shared" si="4"/>
        <v>0</v>
      </c>
      <c r="J18" s="10">
        <f t="shared" si="5"/>
        <v>0</v>
      </c>
      <c r="K18" s="10">
        <f t="shared" si="6"/>
        <v>0</v>
      </c>
      <c r="L18" s="10">
        <f t="shared" si="7"/>
        <v>0</v>
      </c>
    </row>
    <row r="19" spans="1:15" hidden="1" x14ac:dyDescent="0.25">
      <c r="B19" s="4"/>
      <c r="C19" s="94"/>
      <c r="G19" s="9">
        <f t="shared" si="2"/>
        <v>0</v>
      </c>
      <c r="H19" s="9">
        <f t="shared" si="3"/>
        <v>0</v>
      </c>
      <c r="I19" s="9">
        <f t="shared" si="4"/>
        <v>0</v>
      </c>
      <c r="J19" s="10">
        <f t="shared" si="5"/>
        <v>0</v>
      </c>
      <c r="K19" s="10">
        <f t="shared" si="6"/>
        <v>0</v>
      </c>
      <c r="L19" s="10">
        <f t="shared" si="7"/>
        <v>0</v>
      </c>
    </row>
    <row r="20" spans="1:15" hidden="1" x14ac:dyDescent="0.25">
      <c r="B20" s="4"/>
      <c r="C20" s="94"/>
      <c r="G20" s="9">
        <f t="shared" si="2"/>
        <v>0</v>
      </c>
      <c r="H20" s="9">
        <f t="shared" si="3"/>
        <v>0</v>
      </c>
      <c r="I20" s="9">
        <f t="shared" si="4"/>
        <v>0</v>
      </c>
      <c r="J20" s="10">
        <f t="shared" si="5"/>
        <v>0</v>
      </c>
      <c r="K20" s="10">
        <f t="shared" si="6"/>
        <v>0</v>
      </c>
      <c r="L20" s="10">
        <f t="shared" si="7"/>
        <v>0</v>
      </c>
    </row>
    <row r="21" spans="1:15" hidden="1" x14ac:dyDescent="0.25">
      <c r="B21" s="4"/>
      <c r="C21" s="94"/>
      <c r="G21" s="9">
        <f t="shared" si="2"/>
        <v>0</v>
      </c>
      <c r="H21" s="9">
        <f t="shared" si="3"/>
        <v>0</v>
      </c>
      <c r="I21" s="9">
        <f t="shared" si="4"/>
        <v>0</v>
      </c>
      <c r="J21" s="10">
        <f t="shared" si="5"/>
        <v>0</v>
      </c>
      <c r="K21" s="10">
        <f t="shared" si="6"/>
        <v>0</v>
      </c>
      <c r="L21" s="10">
        <f t="shared" si="7"/>
        <v>0</v>
      </c>
    </row>
    <row r="22" spans="1:15" hidden="1" x14ac:dyDescent="0.25">
      <c r="B22" s="4"/>
      <c r="C22" s="94"/>
      <c r="G22" s="9">
        <f t="shared" si="2"/>
        <v>0</v>
      </c>
      <c r="H22" s="9">
        <f t="shared" si="3"/>
        <v>0</v>
      </c>
      <c r="I22" s="9">
        <f t="shared" si="4"/>
        <v>0</v>
      </c>
      <c r="J22" s="10">
        <f t="shared" si="5"/>
        <v>0</v>
      </c>
      <c r="K22" s="10">
        <f t="shared" si="6"/>
        <v>0</v>
      </c>
      <c r="L22" s="10">
        <f t="shared" si="7"/>
        <v>0</v>
      </c>
    </row>
    <row r="23" spans="1:15" ht="30" x14ac:dyDescent="0.25">
      <c r="A23" s="1" t="s">
        <v>33</v>
      </c>
      <c r="D23" s="7">
        <f>AVERAGE(D13:D22)</f>
        <v>4.6720000000000006</v>
      </c>
      <c r="E23" s="7">
        <f t="shared" ref="E23:F23" si="8">AVERAGE(E13:E22)</f>
        <v>5.2333333333333334</v>
      </c>
      <c r="F23" s="7">
        <f t="shared" si="8"/>
        <v>4.9633333333333329</v>
      </c>
      <c r="G23" s="9">
        <f t="shared" si="2"/>
        <v>1.2458666666666667E-3</v>
      </c>
      <c r="H23" s="9">
        <f t="shared" si="3"/>
        <v>1.3955555555555555E-3</v>
      </c>
      <c r="I23" s="9">
        <f t="shared" si="4"/>
        <v>1.3235555555555555E-3</v>
      </c>
      <c r="J23" s="10">
        <f t="shared" si="5"/>
        <v>9966.9333333333343</v>
      </c>
      <c r="K23" s="10">
        <f t="shared" si="6"/>
        <v>11164.444444444443</v>
      </c>
      <c r="L23" s="10">
        <f t="shared" si="7"/>
        <v>9264.8888888888887</v>
      </c>
    </row>
    <row r="24" spans="1:15" x14ac:dyDescent="0.25">
      <c r="A24" s="94" t="s">
        <v>35</v>
      </c>
      <c r="B24" s="94"/>
      <c r="J24" s="94">
        <f>SUM(J23:L23)/1000</f>
        <v>30.396266666666669</v>
      </c>
      <c r="K24" s="94"/>
      <c r="L24" s="94"/>
    </row>
    <row r="26" spans="1:15" ht="15" hidden="1" customHeight="1" x14ac:dyDescent="0.25"/>
    <row r="27" spans="1:15" ht="15" customHeight="1" x14ac:dyDescent="0.25">
      <c r="A27" s="94"/>
      <c r="B27" s="94" t="s">
        <v>39</v>
      </c>
      <c r="C27" s="94"/>
      <c r="D27" s="94"/>
      <c r="E27" s="94"/>
      <c r="F27" s="93" t="s">
        <v>37</v>
      </c>
      <c r="G27" s="93"/>
      <c r="H27" s="93"/>
      <c r="I27" s="93"/>
      <c r="J27" s="93"/>
      <c r="K27" s="93"/>
      <c r="L27" s="6"/>
    </row>
    <row r="28" spans="1:15" ht="15" customHeight="1" x14ac:dyDescent="0.25">
      <c r="A28" s="94"/>
      <c r="B28" s="94"/>
      <c r="C28" s="94"/>
      <c r="D28" s="94"/>
      <c r="E28" s="94"/>
      <c r="F28" s="18" t="s">
        <v>55</v>
      </c>
      <c r="G28" s="12" t="s">
        <v>56</v>
      </c>
      <c r="H28" s="93" t="s">
        <v>40</v>
      </c>
      <c r="I28" s="93"/>
      <c r="J28" s="93"/>
      <c r="K28" s="1">
        <f>J24*0.5</f>
        <v>15.198133333333335</v>
      </c>
      <c r="L28" s="19">
        <f>+ROUND(K28,3)</f>
        <v>15.198</v>
      </c>
      <c r="O28" s="19"/>
    </row>
    <row r="29" spans="1:15" ht="15" customHeight="1" x14ac:dyDescent="0.25">
      <c r="F29" s="18" t="s">
        <v>57</v>
      </c>
      <c r="G29" s="12" t="s">
        <v>56</v>
      </c>
      <c r="H29" s="93" t="s">
        <v>40</v>
      </c>
      <c r="I29" s="93"/>
      <c r="J29" s="93"/>
      <c r="K29" s="1">
        <f>J24*0.3</f>
        <v>9.1188800000000008</v>
      </c>
      <c r="L29" s="19">
        <f t="shared" ref="L29:L30" si="9">+ROUND(K29,3)</f>
        <v>9.1189999999999998</v>
      </c>
      <c r="O29" s="19"/>
    </row>
    <row r="30" spans="1:15" ht="15" customHeight="1" x14ac:dyDescent="0.25">
      <c r="F30" s="18" t="s">
        <v>58</v>
      </c>
      <c r="G30" s="12" t="s">
        <v>56</v>
      </c>
      <c r="H30" s="93" t="s">
        <v>40</v>
      </c>
      <c r="I30" s="93"/>
      <c r="J30" s="93"/>
      <c r="K30" s="1">
        <f>J24*0.4</f>
        <v>12.158506666666668</v>
      </c>
      <c r="L30" s="19">
        <f t="shared" si="9"/>
        <v>12.159000000000001</v>
      </c>
      <c r="O30" s="19"/>
    </row>
    <row r="33" spans="1:17" x14ac:dyDescent="0.25">
      <c r="C33" s="94" t="s">
        <v>15</v>
      </c>
      <c r="D33" s="94" t="s">
        <v>38</v>
      </c>
    </row>
    <row r="34" spans="1:17" x14ac:dyDescent="0.25">
      <c r="C34" s="94"/>
      <c r="D34" s="94"/>
    </row>
    <row r="35" spans="1:17" x14ac:dyDescent="0.25">
      <c r="A35" s="1" t="s">
        <v>9</v>
      </c>
      <c r="B35" s="14" t="s">
        <v>48</v>
      </c>
      <c r="C35" s="5">
        <f>+SUMIFS(Sayfa2!$B:$B,Sayfa2!A:A,A35)+SUMIFS(Sayfa2!F:F,Sayfa2!E:E,A35)+SUMIFS(Sayfa2!J:J,Sayfa2!I:I,A35)</f>
        <v>18.136000000000003</v>
      </c>
      <c r="D35" s="5">
        <f>C35/C$42*100</f>
        <v>40.658207416042693</v>
      </c>
      <c r="E35" s="19">
        <f>+IF(C35&gt;0.01,1,0)</f>
        <v>1</v>
      </c>
      <c r="O35" s="2"/>
    </row>
    <row r="36" spans="1:17" x14ac:dyDescent="0.25">
      <c r="A36" s="1" t="s">
        <v>10</v>
      </c>
      <c r="B36" s="15" t="s">
        <v>45</v>
      </c>
      <c r="C36" s="5">
        <f>+SUMIFS(Sayfa2!$B:$B,Sayfa2!A:A,A36)+SUMIFS(Sayfa2!F:F,Sayfa2!E:E,A36)+SUMIFS(Sayfa2!J:J,Sayfa2!I:I,A36)</f>
        <v>1.85</v>
      </c>
      <c r="D36" s="5">
        <f>C36/C$42*100</f>
        <v>4.1474241133479799</v>
      </c>
      <c r="E36" s="19">
        <f t="shared" ref="E36:E41" si="10">+IF(C36&gt;0.01,1,0)</f>
        <v>1</v>
      </c>
      <c r="O36" s="2"/>
    </row>
    <row r="37" spans="1:17" x14ac:dyDescent="0.25">
      <c r="A37" s="1" t="s">
        <v>11</v>
      </c>
      <c r="B37" s="16" t="s">
        <v>46</v>
      </c>
      <c r="C37" s="5">
        <f>+SUMIFS(Sayfa2!$B:$B,Sayfa2!A:A,A37)+SUMIFS(Sayfa2!F:F,Sayfa2!E:E,A37)+SUMIFS(Sayfa2!J:J,Sayfa2!I:I,A37)</f>
        <v>4.1500000000000004</v>
      </c>
      <c r="D37" s="5">
        <f>C37/C$42*100</f>
        <v>9.3036811191319551</v>
      </c>
      <c r="E37" s="19">
        <f t="shared" si="10"/>
        <v>1</v>
      </c>
      <c r="O37" s="2"/>
      <c r="Q37" s="17"/>
    </row>
    <row r="38" spans="1:17" x14ac:dyDescent="0.25">
      <c r="A38" s="1" t="s">
        <v>49</v>
      </c>
      <c r="B38" s="14" t="s">
        <v>50</v>
      </c>
      <c r="C38" s="5">
        <f>+SUMIFS(Sayfa2!$B:$B,Sayfa2!A:A,A38)+SUMIFS(Sayfa2!F:F,Sayfa2!E:E,A38)+SUMIFS(Sayfa2!J:J,Sayfa2!I:I,A38)</f>
        <v>6.24</v>
      </c>
      <c r="D38" s="5">
        <f t="shared" ref="D38:D41" si="11">C38/C$42*100</f>
        <v>13.989149441779134</v>
      </c>
      <c r="E38" s="19">
        <f t="shared" si="10"/>
        <v>1</v>
      </c>
      <c r="O38" s="2"/>
      <c r="Q38" s="17"/>
    </row>
    <row r="39" spans="1:17" x14ac:dyDescent="0.25">
      <c r="A39" s="13" t="s">
        <v>51</v>
      </c>
      <c r="B39" s="14" t="s">
        <v>52</v>
      </c>
      <c r="C39" s="5">
        <f>+SUMIFS(Sayfa2!$B:$B,Sayfa2!A:A,A39)+SUMIFS(Sayfa2!F:F,Sayfa2!E:E,A39)+SUMIFS(Sayfa2!J:J,Sayfa2!I:I,A39)</f>
        <v>3.1900000000000004</v>
      </c>
      <c r="D39" s="5">
        <f t="shared" si="11"/>
        <v>7.151504281935166</v>
      </c>
      <c r="E39" s="19">
        <f t="shared" si="10"/>
        <v>1</v>
      </c>
      <c r="O39" s="2"/>
      <c r="Q39" s="17"/>
    </row>
    <row r="40" spans="1:17" x14ac:dyDescent="0.25">
      <c r="A40" s="13" t="s">
        <v>53</v>
      </c>
      <c r="B40" s="14" t="s">
        <v>54</v>
      </c>
      <c r="C40" s="5">
        <f>+SUMIFS(Sayfa2!$B:$B,Sayfa2!A:A,A40)+SUMIFS(Sayfa2!F:F,Sayfa2!E:E,A40)+SUMIFS(Sayfa2!J:J,Sayfa2!I:I,A40)</f>
        <v>1.58</v>
      </c>
      <c r="D40" s="5">
        <f t="shared" si="11"/>
        <v>3.5421243778863833</v>
      </c>
      <c r="E40" s="19">
        <f t="shared" si="10"/>
        <v>1</v>
      </c>
      <c r="O40" s="2"/>
      <c r="Q40" s="17"/>
    </row>
    <row r="41" spans="1:17" x14ac:dyDescent="0.25">
      <c r="A41" s="13" t="s">
        <v>118</v>
      </c>
      <c r="B41" s="14" t="s">
        <v>59</v>
      </c>
      <c r="C41" s="5">
        <f>+SUMIFS(Sayfa2!$B:$B,Sayfa2!A:A,A41)+SUMIFS(Sayfa2!F:F,Sayfa2!E:E,A41)+SUMIFS(Sayfa2!J:J,Sayfa2!I:I,A41)</f>
        <v>9.4599999999999991</v>
      </c>
      <c r="D41" s="5">
        <f t="shared" si="11"/>
        <v>21.207909249876693</v>
      </c>
      <c r="E41" s="19">
        <f t="shared" si="10"/>
        <v>1</v>
      </c>
      <c r="O41" s="2"/>
    </row>
    <row r="42" spans="1:17" x14ac:dyDescent="0.25">
      <c r="B42" s="1" t="s">
        <v>12</v>
      </c>
      <c r="C42" s="1">
        <f>SUM(C35:C41)</f>
        <v>44.606000000000002</v>
      </c>
      <c r="D42" s="5">
        <f>SUM(D35:D41)</f>
        <v>100</v>
      </c>
      <c r="O42" s="2"/>
    </row>
    <row r="46" spans="1:17" ht="15" customHeight="1" x14ac:dyDescent="0.25">
      <c r="A46" s="94" t="s">
        <v>41</v>
      </c>
      <c r="B46" s="94"/>
      <c r="C46" s="94"/>
      <c r="D46" s="94"/>
      <c r="E46" s="94"/>
      <c r="F46" s="94"/>
      <c r="G46" s="94"/>
      <c r="H46" s="94"/>
      <c r="I46" s="94"/>
      <c r="J46" s="94"/>
      <c r="K46" s="94"/>
      <c r="L46" s="94"/>
    </row>
    <row r="48" spans="1:17" ht="105" customHeight="1" x14ac:dyDescent="0.25">
      <c r="A48" s="95"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 ",IF(E36=1,A36," "),", ",IF(E37=1,A37," "),", ",IF(E38=1,A38," "),", ",IF(E39=1,A39," "),", ",IF(E40=1,A40," "),", ",IF(E41=1,A41," ")," ","türlerinden toplam"," ",C42," ","kg"," ","balık yakalanmış olup toplam avın ağırlığına göre dağılımı ise şu şekildedir."," ",IF(E35=1,B35," ")," ","türü"," ","%"," ",ROUND(C35/C$42*100,2),", ",IF(E36=1,B36," ")," ","türü"," ","%"," ",ROUND(C36/C$42*100,2),", ",IF(E37=1,B37," ")," ","türü"," ","%"," ",ROUND(C37/C$42*100,2),", ",IF(E38=1,B38," ")," ","türü"," ","%"," ",ROUND(C38/C$42*100,2),", ",IF(E39=1,B39," ")," ","türü"," ","%"," ",ROUND(C39/C$42*100,2),", ",IF(E40=1,B40," ")," ","türü"," ","%"," ",ROUND(C40/C$42*100,2),", ",IF(E41=1,B41," ")," ","türü"," ","%"," ",ROUND(C41/C$42*100,2),".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DURAĞAN ALTINKAYA BARAJ GÖLÜ avlak sahasında belirlenen 3 istasyonda 3750 m² ağ alanına sahip ortalama 70 mm göz açıklığına sahip 3 adet uzatma ağları kullanılarak 03.12.2021 - 08.12.2021 tarihleri arasında avcılık operasyonları düzenlenmiştir. Denemeler sonucunda Sazan, Yayın, Sudak, Siraz, Tatlısu kefali, Bıyıklı balık, Gümişi Balık türlerinden toplam 44,606 kg balık yakalanmış olup toplam avın ağırlığına göre dağılımı ise şu şekildedir. C.carpio türü % 40,66, S. glanis türü % 4,15, S. lucioperca türü % 9,3, Capoeta sp. türü % 13,99, S.cephalus türü % 7,15, Barbus sp. türü % 3,54, C.gibelio türü % 21,21.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9,119 ton/yıl olarak tahmin edilmiştir.</v>
      </c>
      <c r="B48" s="95"/>
      <c r="C48" s="95"/>
      <c r="D48" s="95"/>
      <c r="E48" s="95"/>
      <c r="F48" s="95"/>
      <c r="G48" s="95"/>
      <c r="H48" s="95"/>
      <c r="I48" s="95"/>
      <c r="J48" s="95"/>
      <c r="K48" s="95"/>
      <c r="L48" s="95"/>
      <c r="M48" s="6"/>
      <c r="N48" s="6"/>
      <c r="O48" s="6"/>
      <c r="P48" s="6"/>
      <c r="Q48" s="6"/>
    </row>
    <row r="49" spans="1:17" x14ac:dyDescent="0.25">
      <c r="A49" s="6"/>
      <c r="B49" s="6"/>
      <c r="C49" s="6"/>
      <c r="D49" s="6"/>
      <c r="E49" s="6"/>
      <c r="F49" s="6"/>
      <c r="G49" s="6"/>
      <c r="H49" s="6"/>
      <c r="I49" s="6"/>
      <c r="J49" s="6"/>
      <c r="K49" s="6"/>
      <c r="L49" s="6"/>
      <c r="M49" s="6"/>
      <c r="N49" s="6"/>
      <c r="O49" s="6"/>
      <c r="P49" s="6"/>
      <c r="Q49" s="6"/>
    </row>
    <row r="50" spans="1:17" ht="30.75" customHeight="1" x14ac:dyDescent="0.25">
      <c r="A50" s="95" t="s">
        <v>47</v>
      </c>
      <c r="B50" s="95"/>
      <c r="C50" s="95"/>
      <c r="D50" s="95"/>
      <c r="E50" s="95"/>
      <c r="F50" s="95"/>
      <c r="G50" s="95"/>
      <c r="H50" s="95"/>
      <c r="I50" s="95"/>
      <c r="J50" s="95"/>
      <c r="K50" s="95"/>
      <c r="L50" s="95"/>
    </row>
    <row r="51" spans="1:17" x14ac:dyDescent="0.25">
      <c r="A51" s="6"/>
      <c r="B51" s="6"/>
      <c r="C51" s="6"/>
      <c r="D51" s="6"/>
      <c r="E51" s="6"/>
      <c r="F51" s="6"/>
      <c r="G51" s="6"/>
      <c r="H51" s="6"/>
      <c r="I51" s="6"/>
      <c r="J51" s="6"/>
      <c r="K51" s="6"/>
      <c r="L51" s="6"/>
    </row>
    <row r="52" spans="1:17" x14ac:dyDescent="0.25">
      <c r="A52" s="6"/>
      <c r="B52" s="6"/>
      <c r="C52" s="6"/>
      <c r="D52" s="6"/>
      <c r="E52" s="6"/>
      <c r="F52" s="6"/>
      <c r="G52" s="6"/>
      <c r="H52" s="6"/>
      <c r="I52" s="6"/>
      <c r="J52" s="6"/>
      <c r="K52" s="6"/>
      <c r="L52" s="6"/>
    </row>
    <row r="53" spans="1:17" x14ac:dyDescent="0.25">
      <c r="A53" s="6"/>
      <c r="B53" s="6"/>
      <c r="C53" s="6"/>
      <c r="D53" s="6"/>
      <c r="E53" s="6"/>
      <c r="F53" s="6"/>
      <c r="G53" s="6"/>
      <c r="H53" s="6"/>
      <c r="I53" s="6"/>
      <c r="J53" s="6"/>
      <c r="K53" s="6"/>
      <c r="L53" s="6"/>
    </row>
    <row r="60" spans="1:17" s="20" customFormat="1" x14ac:dyDescent="0.25"/>
    <row r="61" spans="1:17" s="20" customFormat="1" x14ac:dyDescent="0.25"/>
    <row r="62" spans="1:17" s="20" customFormat="1" x14ac:dyDescent="0.25"/>
    <row r="63" spans="1:17" s="20" customFormat="1" x14ac:dyDescent="0.25"/>
    <row r="64" spans="1:17" s="20" customFormat="1" x14ac:dyDescent="0.25"/>
    <row r="65" s="20" customFormat="1" x14ac:dyDescent="0.25"/>
    <row r="66" s="20" customFormat="1" x14ac:dyDescent="0.25"/>
  </sheetData>
  <mergeCells count="28">
    <mergeCell ref="B1:D1"/>
    <mergeCell ref="A24:B24"/>
    <mergeCell ref="J24:L24"/>
    <mergeCell ref="C2:D2"/>
    <mergeCell ref="C3:D3"/>
    <mergeCell ref="E1:G1"/>
    <mergeCell ref="E2:G2"/>
    <mergeCell ref="E3:G3"/>
    <mergeCell ref="D11:F11"/>
    <mergeCell ref="G11:I11"/>
    <mergeCell ref="I1:J1"/>
    <mergeCell ref="H2:I2"/>
    <mergeCell ref="J11:L11"/>
    <mergeCell ref="G7:G9"/>
    <mergeCell ref="H3:L4"/>
    <mergeCell ref="C4:D4"/>
    <mergeCell ref="H30:J30"/>
    <mergeCell ref="C13:C22"/>
    <mergeCell ref="A50:L50"/>
    <mergeCell ref="A48:L48"/>
    <mergeCell ref="A27:A28"/>
    <mergeCell ref="B27:E28"/>
    <mergeCell ref="F27:K27"/>
    <mergeCell ref="H28:J28"/>
    <mergeCell ref="H29:J29"/>
    <mergeCell ref="A46:L46"/>
    <mergeCell ref="C33:C34"/>
    <mergeCell ref="D33:D34"/>
  </mergeCells>
  <printOptions horizontalCentered="1" verticalCentered="1"/>
  <pageMargins left="0.59055118110236227" right="0.59055118110236227" top="0.59055118110236227" bottom="0.19685039370078741" header="0.31496062992125984" footer="0.31496062992125984"/>
  <pageSetup paperSize="9" scale="69"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8"/>
  <sheetViews>
    <sheetView workbookViewId="0">
      <selection activeCell="I6" sqref="I6"/>
    </sheetView>
  </sheetViews>
  <sheetFormatPr defaultRowHeight="15" x14ac:dyDescent="0.25"/>
  <cols>
    <col min="1" max="1" width="24.7109375" bestFit="1" customWidth="1"/>
    <col min="2" max="2" width="13.5703125" customWidth="1"/>
    <col min="3" max="3" width="18" bestFit="1" customWidth="1"/>
    <col min="4" max="4" width="14.5703125" customWidth="1"/>
    <col min="5" max="6" width="12.140625" customWidth="1"/>
    <col min="9" max="10" width="14.140625" customWidth="1"/>
    <col min="11" max="11" width="10.42578125" customWidth="1"/>
  </cols>
  <sheetData>
    <row r="1" spans="1:11" x14ac:dyDescent="0.25">
      <c r="A1" s="43" t="s">
        <v>82</v>
      </c>
      <c r="I1" t="str">
        <f>+Sonuç!A35</f>
        <v>Sazan</v>
      </c>
      <c r="J1" t="str">
        <f>+Sonuç!B35</f>
        <v>C.carpio</v>
      </c>
      <c r="K1" s="42">
        <f>+Sonuç!$K$29*Sonuç!D35*10</f>
        <v>3707.5731444200342</v>
      </c>
    </row>
    <row r="2" spans="1:11" x14ac:dyDescent="0.25">
      <c r="A2" s="44" t="s">
        <v>78</v>
      </c>
      <c r="B2" s="45" t="s">
        <v>79</v>
      </c>
      <c r="C2" s="44" t="s">
        <v>80</v>
      </c>
      <c r="D2" s="44" t="s">
        <v>81</v>
      </c>
      <c r="I2" t="str">
        <f>+Sonuç!A36</f>
        <v>Yayın</v>
      </c>
      <c r="J2" t="str">
        <f>+Sonuç!B36</f>
        <v>S. glanis</v>
      </c>
      <c r="K2" s="42">
        <f>+Sonuç!$K$29*Sonuç!D36*10</f>
        <v>378.19862798726632</v>
      </c>
    </row>
    <row r="3" spans="1:11" x14ac:dyDescent="0.25">
      <c r="A3" s="46" t="str">
        <f t="shared" ref="A3:A9" si="0">+CONCATENATE(I1," ","( ",J1," )")</f>
        <v>Sazan ( C.carpio )</v>
      </c>
      <c r="B3" s="47">
        <f t="shared" ref="B3:B9" si="1">+ROUND(K1,0)</f>
        <v>3708</v>
      </c>
      <c r="C3" s="48">
        <v>16</v>
      </c>
      <c r="D3" s="63">
        <f>+B3*C3</f>
        <v>59328</v>
      </c>
      <c r="I3" t="str">
        <f>+Sonuç!A37</f>
        <v>Sudak</v>
      </c>
      <c r="J3" t="str">
        <f>+Sonuç!B37</f>
        <v>S. lucioperca</v>
      </c>
      <c r="K3" s="42">
        <f>+Sonuç!$K$29*Sonuç!D37*10</f>
        <v>848.39151683630007</v>
      </c>
    </row>
    <row r="4" spans="1:11" x14ac:dyDescent="0.25">
      <c r="A4" s="46" t="str">
        <f t="shared" si="0"/>
        <v>Yayın ( S. glanis )</v>
      </c>
      <c r="B4" s="47">
        <f t="shared" si="1"/>
        <v>378</v>
      </c>
      <c r="C4" s="48">
        <v>21</v>
      </c>
      <c r="D4" s="63">
        <f t="shared" ref="D4:D9" si="2">+B4*C4</f>
        <v>7938</v>
      </c>
      <c r="I4" t="str">
        <f>+Sonuç!A38</f>
        <v>Siraz</v>
      </c>
      <c r="J4" t="str">
        <f>+Sonuç!B38</f>
        <v>Capoeta sp.</v>
      </c>
      <c r="K4" s="42">
        <f>+Sonuç!$K$29*Sonuç!D38*10</f>
        <v>1275.6537506165091</v>
      </c>
    </row>
    <row r="5" spans="1:11" x14ac:dyDescent="0.25">
      <c r="A5" s="46" t="str">
        <f t="shared" si="0"/>
        <v>Sudak ( S. lucioperca )</v>
      </c>
      <c r="B5" s="47">
        <f t="shared" si="1"/>
        <v>848</v>
      </c>
      <c r="C5" s="48">
        <v>23</v>
      </c>
      <c r="D5" s="63">
        <f t="shared" si="2"/>
        <v>19504</v>
      </c>
      <c r="I5" t="str">
        <f>+Sonuç!A39</f>
        <v>Tatlısu kefali</v>
      </c>
      <c r="J5" t="str">
        <f>+Sonuç!B39</f>
        <v>S.cephalus</v>
      </c>
      <c r="K5" s="42">
        <f>+Sonuç!$K$29*Sonuç!D39*10</f>
        <v>652.1370936645294</v>
      </c>
    </row>
    <row r="6" spans="1:11" x14ac:dyDescent="0.25">
      <c r="A6" s="46" t="str">
        <f t="shared" si="0"/>
        <v>Siraz ( Capoeta sp. )</v>
      </c>
      <c r="B6" s="47">
        <f t="shared" si="1"/>
        <v>1276</v>
      </c>
      <c r="C6" s="48">
        <v>10</v>
      </c>
      <c r="D6" s="63">
        <f t="shared" si="2"/>
        <v>12760</v>
      </c>
      <c r="I6" t="str">
        <f>+Sonuç!A40</f>
        <v>Bıyıklı balık</v>
      </c>
      <c r="J6" t="str">
        <f>+Sonuç!B40</f>
        <v>Barbus sp.</v>
      </c>
      <c r="K6" s="42">
        <f>+Sonuç!$K$29*Sonuç!D40*10</f>
        <v>323.00207147020586</v>
      </c>
    </row>
    <row r="7" spans="1:11" x14ac:dyDescent="0.25">
      <c r="A7" s="46" t="str">
        <f t="shared" si="0"/>
        <v>Tatlısu kefali ( S.cephalus )</v>
      </c>
      <c r="B7" s="47">
        <f t="shared" si="1"/>
        <v>652</v>
      </c>
      <c r="C7" s="48">
        <v>20</v>
      </c>
      <c r="D7" s="63">
        <f t="shared" si="2"/>
        <v>13040</v>
      </c>
      <c r="I7" t="str">
        <f>+Sonuç!A41</f>
        <v>Gümişi Balık</v>
      </c>
      <c r="J7" t="str">
        <f>+Sonuç!B41</f>
        <v>C.gibelio</v>
      </c>
      <c r="K7" s="42">
        <f>+Sonuç!$K$29*Sonuç!D41*10</f>
        <v>1933.9237950051561</v>
      </c>
    </row>
    <row r="8" spans="1:11" x14ac:dyDescent="0.25">
      <c r="A8" s="46" t="str">
        <f t="shared" si="0"/>
        <v>Bıyıklı balık ( Barbus sp. )</v>
      </c>
      <c r="B8" s="47">
        <f t="shared" si="1"/>
        <v>323</v>
      </c>
      <c r="C8" s="48">
        <v>7</v>
      </c>
      <c r="D8" s="63">
        <f t="shared" si="2"/>
        <v>2261</v>
      </c>
      <c r="K8" s="42">
        <f>SUM(K1:K7)</f>
        <v>9118.880000000001</v>
      </c>
    </row>
    <row r="9" spans="1:11" x14ac:dyDescent="0.25">
      <c r="A9" s="46" t="str">
        <f t="shared" si="0"/>
        <v>Gümişi Balık ( C.gibelio )</v>
      </c>
      <c r="B9" s="47">
        <f t="shared" si="1"/>
        <v>1934</v>
      </c>
      <c r="C9" s="48">
        <v>7</v>
      </c>
      <c r="D9" s="63">
        <f t="shared" si="2"/>
        <v>13538</v>
      </c>
    </row>
    <row r="10" spans="1:11" x14ac:dyDescent="0.25">
      <c r="A10" s="45" t="s">
        <v>12</v>
      </c>
      <c r="B10" s="50">
        <f>SUM(B3:B9)</f>
        <v>9119</v>
      </c>
      <c r="C10" s="51"/>
      <c r="D10" s="70">
        <f>SUM(D3:D9)</f>
        <v>128369</v>
      </c>
    </row>
    <row r="11" spans="1:11" x14ac:dyDescent="0.25">
      <c r="A11" s="43" t="s">
        <v>83</v>
      </c>
    </row>
    <row r="12" spans="1:11" x14ac:dyDescent="0.25">
      <c r="A12" s="44" t="s">
        <v>84</v>
      </c>
      <c r="B12" s="44" t="s">
        <v>85</v>
      </c>
      <c r="C12" s="44" t="s">
        <v>80</v>
      </c>
      <c r="D12" s="44" t="s">
        <v>81</v>
      </c>
    </row>
    <row r="13" spans="1:11" x14ac:dyDescent="0.25">
      <c r="A13" s="46" t="s">
        <v>70</v>
      </c>
      <c r="B13" s="52">
        <v>3</v>
      </c>
      <c r="C13" s="75">
        <v>25000</v>
      </c>
      <c r="D13" s="63">
        <f>+B13*C13</f>
        <v>75000</v>
      </c>
    </row>
    <row r="14" spans="1:11" x14ac:dyDescent="0.25">
      <c r="A14" s="46" t="s">
        <v>86</v>
      </c>
      <c r="B14" s="52"/>
      <c r="C14" s="75"/>
      <c r="D14" s="63"/>
    </row>
    <row r="15" spans="1:11" x14ac:dyDescent="0.25">
      <c r="A15" s="46" t="s">
        <v>87</v>
      </c>
      <c r="B15" s="46"/>
      <c r="C15" s="75"/>
      <c r="D15" s="73"/>
    </row>
    <row r="16" spans="1:11" x14ac:dyDescent="0.25">
      <c r="A16" s="46" t="s">
        <v>88</v>
      </c>
      <c r="B16" s="52">
        <v>6</v>
      </c>
      <c r="C16" s="75">
        <v>2250</v>
      </c>
      <c r="D16" s="63">
        <f>+B16*C16</f>
        <v>13500</v>
      </c>
    </row>
    <row r="17" spans="1:5" x14ac:dyDescent="0.25">
      <c r="A17" s="46" t="s">
        <v>89</v>
      </c>
      <c r="B17" s="46"/>
      <c r="C17" s="75"/>
      <c r="D17" s="63">
        <f t="shared" ref="D17" si="3">+B17*C17</f>
        <v>0</v>
      </c>
    </row>
    <row r="18" spans="1:5" x14ac:dyDescent="0.25">
      <c r="A18" s="45" t="s">
        <v>12</v>
      </c>
      <c r="B18" s="54"/>
      <c r="C18" s="74"/>
      <c r="D18" s="70">
        <f>SUM(D13:D17)</f>
        <v>88500</v>
      </c>
    </row>
    <row r="19" spans="1:5" x14ac:dyDescent="0.25">
      <c r="A19" s="55" t="s">
        <v>90</v>
      </c>
      <c r="B19" s="56"/>
      <c r="C19" s="56"/>
      <c r="D19" s="56"/>
    </row>
    <row r="20" spans="1:5" x14ac:dyDescent="0.25">
      <c r="A20" s="55" t="s">
        <v>96</v>
      </c>
      <c r="B20" s="56"/>
      <c r="C20" s="56"/>
      <c r="D20" s="56"/>
    </row>
    <row r="21" spans="1:5" x14ac:dyDescent="0.25">
      <c r="A21" s="59" t="s">
        <v>91</v>
      </c>
      <c r="B21" s="44" t="s">
        <v>92</v>
      </c>
      <c r="C21" s="44" t="s">
        <v>93</v>
      </c>
      <c r="D21" s="44" t="s">
        <v>94</v>
      </c>
      <c r="E21" s="44" t="s">
        <v>81</v>
      </c>
    </row>
    <row r="22" spans="1:5" x14ac:dyDescent="0.25">
      <c r="A22" s="60" t="s">
        <v>71</v>
      </c>
      <c r="B22" s="52">
        <f>+B13*2</f>
        <v>6</v>
      </c>
      <c r="C22" s="48">
        <v>4</v>
      </c>
      <c r="D22" s="49">
        <v>2825</v>
      </c>
      <c r="E22" s="49">
        <f>+B22*C22*D22</f>
        <v>67800</v>
      </c>
    </row>
    <row r="23" spans="1:5" x14ac:dyDescent="0.25">
      <c r="A23" s="60" t="s">
        <v>95</v>
      </c>
      <c r="B23" s="46"/>
      <c r="C23" s="46"/>
      <c r="D23" s="46"/>
      <c r="E23" s="46"/>
    </row>
    <row r="24" spans="1:5" x14ac:dyDescent="0.25">
      <c r="A24" s="60" t="s">
        <v>89</v>
      </c>
      <c r="B24" s="46"/>
      <c r="C24" s="46"/>
      <c r="D24" s="46"/>
      <c r="E24" s="46"/>
    </row>
    <row r="25" spans="1:5" x14ac:dyDescent="0.25">
      <c r="A25" s="58" t="s">
        <v>12</v>
      </c>
      <c r="B25" s="52">
        <f>SUM(B22:B24)</f>
        <v>6</v>
      </c>
      <c r="C25" s="45"/>
      <c r="D25" s="45"/>
      <c r="E25" s="49">
        <f>SUM(E22:E24)</f>
        <v>67800</v>
      </c>
    </row>
    <row r="26" spans="1:5" x14ac:dyDescent="0.25">
      <c r="A26" s="55" t="s">
        <v>97</v>
      </c>
      <c r="B26" s="61"/>
      <c r="C26" s="57"/>
      <c r="D26" s="57"/>
      <c r="E26" s="62"/>
    </row>
    <row r="27" spans="1:5" x14ac:dyDescent="0.25">
      <c r="A27" s="64" t="s">
        <v>72</v>
      </c>
      <c r="B27" s="65" t="s">
        <v>73</v>
      </c>
      <c r="C27" s="66" t="s">
        <v>74</v>
      </c>
      <c r="D27" s="67" t="s">
        <v>98</v>
      </c>
      <c r="E27" s="44" t="s">
        <v>81</v>
      </c>
    </row>
    <row r="28" spans="1:5" x14ac:dyDescent="0.25">
      <c r="A28" s="64">
        <f>+C22*30*2</f>
        <v>240</v>
      </c>
      <c r="B28" s="52">
        <f>+B13</f>
        <v>3</v>
      </c>
      <c r="C28" s="68">
        <v>3</v>
      </c>
      <c r="D28" s="69">
        <v>9.6999999999999993</v>
      </c>
      <c r="E28" s="63">
        <f>+A28*B28*C28*D28</f>
        <v>20952</v>
      </c>
    </row>
    <row r="29" spans="1:5" x14ac:dyDescent="0.25">
      <c r="A29" s="55" t="s">
        <v>99</v>
      </c>
      <c r="B29" s="61"/>
      <c r="C29" s="57"/>
      <c r="D29" s="57"/>
      <c r="E29" s="62"/>
    </row>
    <row r="30" spans="1:5" x14ac:dyDescent="0.25">
      <c r="A30" s="44" t="s">
        <v>75</v>
      </c>
      <c r="B30" s="98" t="s">
        <v>76</v>
      </c>
      <c r="C30" s="98"/>
      <c r="D30" s="71" t="s">
        <v>77</v>
      </c>
    </row>
    <row r="31" spans="1:5" x14ac:dyDescent="0.25">
      <c r="A31" s="72">
        <f>+D10</f>
        <v>128369</v>
      </c>
      <c r="B31" s="98">
        <v>0.03</v>
      </c>
      <c r="C31" s="98"/>
      <c r="D31" s="70">
        <f>+A31*B31</f>
        <v>3851.0699999999997</v>
      </c>
    </row>
    <row r="32" spans="1:5" x14ac:dyDescent="0.25">
      <c r="A32" s="55" t="s">
        <v>100</v>
      </c>
      <c r="B32" s="61"/>
      <c r="C32" s="57"/>
      <c r="D32" s="57"/>
      <c r="E32" s="62"/>
    </row>
    <row r="33" spans="1:5" x14ac:dyDescent="0.25">
      <c r="A33" s="44" t="s">
        <v>84</v>
      </c>
      <c r="B33" s="44" t="s">
        <v>85</v>
      </c>
      <c r="C33" s="44" t="s">
        <v>101</v>
      </c>
      <c r="D33" s="44" t="s">
        <v>81</v>
      </c>
      <c r="E33" s="62"/>
    </row>
    <row r="34" spans="1:5" x14ac:dyDescent="0.25">
      <c r="A34" s="46" t="s">
        <v>70</v>
      </c>
      <c r="B34" s="75">
        <f>+B13*C13</f>
        <v>75000</v>
      </c>
      <c r="C34" s="53">
        <v>25000</v>
      </c>
      <c r="D34" s="63">
        <f>+B34/C34*1000</f>
        <v>3000</v>
      </c>
      <c r="E34" s="62"/>
    </row>
    <row r="35" spans="1:5" x14ac:dyDescent="0.25">
      <c r="A35" s="46" t="s">
        <v>86</v>
      </c>
      <c r="B35" s="75"/>
      <c r="C35" s="53"/>
      <c r="D35" s="63"/>
      <c r="E35" s="62"/>
    </row>
    <row r="36" spans="1:5" x14ac:dyDescent="0.25">
      <c r="A36" s="46" t="s">
        <v>87</v>
      </c>
      <c r="B36" s="75"/>
      <c r="C36" s="53"/>
      <c r="D36" s="63"/>
      <c r="E36" s="62"/>
    </row>
    <row r="37" spans="1:5" x14ac:dyDescent="0.25">
      <c r="A37" s="46" t="s">
        <v>88</v>
      </c>
      <c r="B37" s="75">
        <f t="shared" ref="B37" si="4">+B16*C16</f>
        <v>13500</v>
      </c>
      <c r="C37" s="53">
        <v>2</v>
      </c>
      <c r="D37" s="63">
        <f>+B37/C37</f>
        <v>6750</v>
      </c>
      <c r="E37" s="62"/>
    </row>
    <row r="38" spans="1:5" x14ac:dyDescent="0.25">
      <c r="A38" s="46" t="s">
        <v>89</v>
      </c>
      <c r="B38" s="75"/>
      <c r="C38" s="53"/>
      <c r="D38" s="63"/>
      <c r="E38" s="62"/>
    </row>
    <row r="39" spans="1:5" x14ac:dyDescent="0.25">
      <c r="A39" s="45" t="s">
        <v>12</v>
      </c>
      <c r="B39" s="74">
        <f>SUM(B34:B38)</f>
        <v>88500</v>
      </c>
      <c r="C39" s="54"/>
      <c r="D39" s="70">
        <f>SUM(D34:D38)</f>
        <v>9750</v>
      </c>
      <c r="E39" s="62"/>
    </row>
    <row r="40" spans="1:5" x14ac:dyDescent="0.25">
      <c r="A40" s="55" t="s">
        <v>102</v>
      </c>
      <c r="B40" s="76"/>
      <c r="C40" s="77"/>
      <c r="D40" s="78"/>
      <c r="E40" s="62"/>
    </row>
    <row r="41" spans="1:5" x14ac:dyDescent="0.25">
      <c r="A41" s="44" t="s">
        <v>103</v>
      </c>
      <c r="B41" s="100" t="s">
        <v>76</v>
      </c>
      <c r="C41" s="101"/>
      <c r="D41" s="44" t="s">
        <v>81</v>
      </c>
      <c r="E41" s="62"/>
    </row>
    <row r="42" spans="1:5" x14ac:dyDescent="0.25">
      <c r="A42" s="79">
        <f>+D18</f>
        <v>88500</v>
      </c>
      <c r="B42" s="99">
        <v>0.06</v>
      </c>
      <c r="C42" s="99"/>
      <c r="D42" s="70">
        <f>+A42*B42</f>
        <v>5310</v>
      </c>
      <c r="E42" s="62"/>
    </row>
    <row r="43" spans="1:5" x14ac:dyDescent="0.25">
      <c r="A43" s="57"/>
      <c r="B43" s="76"/>
      <c r="C43" s="77"/>
      <c r="D43" s="78"/>
      <c r="E43" s="62"/>
    </row>
    <row r="44" spans="1:5" x14ac:dyDescent="0.25">
      <c r="A44" s="55" t="s">
        <v>104</v>
      </c>
    </row>
    <row r="45" spans="1:5" x14ac:dyDescent="0.25">
      <c r="A45" s="58" t="s">
        <v>105</v>
      </c>
      <c r="B45" s="44" t="s">
        <v>81</v>
      </c>
    </row>
    <row r="46" spans="1:5" x14ac:dyDescent="0.25">
      <c r="A46" s="60" t="s">
        <v>106</v>
      </c>
      <c r="B46" s="70">
        <f>+E25</f>
        <v>67800</v>
      </c>
    </row>
    <row r="47" spans="1:5" x14ac:dyDescent="0.25">
      <c r="A47" s="60" t="s">
        <v>107</v>
      </c>
      <c r="B47" s="70">
        <f>+E28</f>
        <v>20952</v>
      </c>
    </row>
    <row r="48" spans="1:5" x14ac:dyDescent="0.25">
      <c r="A48" s="60" t="s">
        <v>108</v>
      </c>
      <c r="B48" s="70">
        <f>+D31</f>
        <v>3851.0699999999997</v>
      </c>
    </row>
    <row r="49" spans="1:5" x14ac:dyDescent="0.25">
      <c r="A49" s="60" t="s">
        <v>109</v>
      </c>
      <c r="B49" s="70">
        <f>+D39</f>
        <v>9750</v>
      </c>
    </row>
    <row r="50" spans="1:5" x14ac:dyDescent="0.25">
      <c r="A50" s="60" t="s">
        <v>110</v>
      </c>
      <c r="B50" s="70">
        <f>+D42</f>
        <v>5310</v>
      </c>
    </row>
    <row r="51" spans="1:5" x14ac:dyDescent="0.25">
      <c r="A51" s="58" t="s">
        <v>12</v>
      </c>
      <c r="B51" s="70">
        <f>SUM(B46:B50)</f>
        <v>107663.07</v>
      </c>
    </row>
    <row r="52" spans="1:5" x14ac:dyDescent="0.25">
      <c r="A52" s="80" t="s">
        <v>111</v>
      </c>
    </row>
    <row r="53" spans="1:5" x14ac:dyDescent="0.25">
      <c r="A53" s="97" t="s">
        <v>112</v>
      </c>
      <c r="B53" s="97"/>
      <c r="C53" s="81">
        <f>+D10</f>
        <v>128369</v>
      </c>
    </row>
    <row r="54" spans="1:5" x14ac:dyDescent="0.25">
      <c r="A54" s="97" t="s">
        <v>113</v>
      </c>
      <c r="B54" s="97"/>
      <c r="C54" s="81">
        <f>+B51</f>
        <v>107663.07</v>
      </c>
    </row>
    <row r="55" spans="1:5" x14ac:dyDescent="0.25">
      <c r="A55" s="97" t="s">
        <v>114</v>
      </c>
      <c r="B55" s="97"/>
      <c r="C55" s="81">
        <f>+C53-C54</f>
        <v>20705.929999999993</v>
      </c>
    </row>
    <row r="57" spans="1:5" x14ac:dyDescent="0.25">
      <c r="A57" s="102" t="s">
        <v>115</v>
      </c>
      <c r="B57" s="98" t="s">
        <v>116</v>
      </c>
      <c r="C57" s="98"/>
      <c r="D57" s="82" t="s">
        <v>117</v>
      </c>
      <c r="E57" s="82" t="s">
        <v>81</v>
      </c>
    </row>
    <row r="58" spans="1:5" x14ac:dyDescent="0.25">
      <c r="A58" s="103"/>
      <c r="B58" s="99">
        <f>+C55</f>
        <v>20705.929999999993</v>
      </c>
      <c r="C58" s="98"/>
      <c r="D58" s="44">
        <v>30</v>
      </c>
      <c r="E58" s="70">
        <f>+B58*D58/100</f>
        <v>6211.7789999999977</v>
      </c>
    </row>
  </sheetData>
  <mergeCells count="10">
    <mergeCell ref="A55:B55"/>
    <mergeCell ref="B57:C57"/>
    <mergeCell ref="B58:C58"/>
    <mergeCell ref="B30:C30"/>
    <mergeCell ref="B31:C31"/>
    <mergeCell ref="B41:C41"/>
    <mergeCell ref="B42:C42"/>
    <mergeCell ref="A53:B53"/>
    <mergeCell ref="A54:B54"/>
    <mergeCell ref="A57:A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Sayfa2</vt:lpstr>
      <vt:lpstr>Sonuç</vt:lpstr>
      <vt:lpstr>Sayfa4</vt:lpstr>
      <vt:lpstr>Sonuç!Yazdırma_Alanı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2026-08-07T11:55:33Z</dcterms:modified>
</cp:coreProperties>
</file>