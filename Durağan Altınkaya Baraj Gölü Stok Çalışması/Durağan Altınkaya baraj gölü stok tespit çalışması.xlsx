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defaultThemeVersion="124226"/>
  <xr:revisionPtr revIDLastSave="0" documentId="13_ncr:1_{DCB1EFA2-7A8D-4DCC-929A-64890F171D33}" xr6:coauthVersionLast="47" xr6:coauthVersionMax="47" xr10:uidLastSave="{00000000-0000-0000-0000-000000000000}"/>
  <bookViews>
    <workbookView xWindow="-120" yWindow="-120" windowWidth="20730" windowHeight="11160" activeTab="1" xr2:uid="{00000000-000D-0000-FFFF-FFFF00000000}"/>
  </bookViews>
  <sheets>
    <sheet name="Sayfa2" sheetId="2" r:id="rId1"/>
    <sheet name="Sonuç" sheetId="6" r:id="rId2"/>
    <sheet name="Sayfa1" sheetId="9" r:id="rId3"/>
    <sheet name="Sayfa4" sheetId="8" r:id="rId4"/>
  </sheets>
  <externalReferences>
    <externalReference r:id="rId5"/>
  </externalReferences>
  <definedNames>
    <definedName name="_xlnm.Print_Area" localSheetId="1">Sonuç!$A$1:$L$50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1" i="6" l="1"/>
  <c r="C41" i="6"/>
  <c r="C40" i="6"/>
  <c r="E40" i="6" s="1"/>
  <c r="C39" i="6"/>
  <c r="E39" i="6" s="1"/>
  <c r="C38" i="6"/>
  <c r="E38" i="6" s="1"/>
  <c r="E37" i="6"/>
  <c r="C37" i="6"/>
  <c r="C36" i="6"/>
  <c r="E36" i="6" s="1"/>
  <c r="C35" i="6"/>
  <c r="E35" i="6" s="1"/>
  <c r="F15" i="6"/>
  <c r="I15" i="6" s="1"/>
  <c r="L15" i="6" s="1"/>
  <c r="E15" i="6"/>
  <c r="D15" i="6"/>
  <c r="G15" i="6" s="1"/>
  <c r="J15" i="6" s="1"/>
  <c r="B15" i="6"/>
  <c r="F14" i="6"/>
  <c r="F23" i="6" s="1"/>
  <c r="E14" i="6"/>
  <c r="E23" i="6" s="1"/>
  <c r="D14" i="6"/>
  <c r="G14" i="6" s="1"/>
  <c r="J14" i="6" s="1"/>
  <c r="B14" i="6"/>
  <c r="F13" i="6"/>
  <c r="I13" i="6" s="1"/>
  <c r="E13" i="6"/>
  <c r="D13" i="6"/>
  <c r="G13" i="6" s="1"/>
  <c r="B13" i="6"/>
  <c r="E9" i="6"/>
  <c r="C9" i="6"/>
  <c r="F9" i="6" s="1"/>
  <c r="B9" i="6"/>
  <c r="E8" i="6"/>
  <c r="C8" i="6"/>
  <c r="F8" i="6" s="1"/>
  <c r="B8" i="6"/>
  <c r="B10" i="6" s="1"/>
  <c r="F7" i="6"/>
  <c r="E7" i="6"/>
  <c r="C7" i="6"/>
  <c r="B7" i="6"/>
  <c r="C4" i="6"/>
  <c r="B4" i="6"/>
  <c r="H3" i="6"/>
  <c r="B3" i="6"/>
  <c r="C3" i="6" s="1"/>
  <c r="C2" i="6"/>
  <c r="I1" i="6" s="1"/>
  <c r="B2" i="6"/>
  <c r="H15" i="6" l="1"/>
  <c r="K15" i="6" s="1"/>
  <c r="H13" i="6"/>
  <c r="L13" i="6"/>
  <c r="G7" i="6"/>
  <c r="G23" i="6"/>
  <c r="J13" i="6"/>
  <c r="J23" i="6" s="1"/>
  <c r="D23" i="6"/>
  <c r="C42" i="6"/>
  <c r="H14" i="6"/>
  <c r="K14" i="6" s="1"/>
  <c r="I14" i="6"/>
  <c r="L14" i="6" s="1"/>
  <c r="K13" i="6" l="1"/>
  <c r="K23" i="6" s="1"/>
  <c r="J24" i="6" s="1"/>
  <c r="H23" i="6"/>
  <c r="D36" i="6"/>
  <c r="D40" i="6"/>
  <c r="D37" i="6"/>
  <c r="D41" i="6"/>
  <c r="D39" i="6"/>
  <c r="I23" i="6"/>
  <c r="D38" i="6"/>
  <c r="D35" i="6"/>
  <c r="D42" i="6" s="1"/>
  <c r="L23" i="6"/>
  <c r="K30" i="6" l="1"/>
  <c r="K28" i="6"/>
  <c r="L28" i="6" s="1"/>
  <c r="K29" i="6"/>
  <c r="L29" i="6" s="1"/>
  <c r="A48" i="6" s="1"/>
  <c r="B15" i="9" l="1"/>
  <c r="B14" i="9"/>
  <c r="B13" i="9"/>
  <c r="E9" i="9"/>
  <c r="C9" i="9"/>
  <c r="B9" i="9"/>
  <c r="E8" i="9"/>
  <c r="C8" i="9"/>
  <c r="B8" i="9"/>
  <c r="E7" i="9"/>
  <c r="C7" i="9"/>
  <c r="F7" i="9" s="1"/>
  <c r="B7" i="9"/>
  <c r="B10" i="9"/>
  <c r="H3" i="9"/>
  <c r="I39" i="2"/>
  <c r="E39" i="2"/>
  <c r="I21" i="2"/>
  <c r="E21" i="2"/>
  <c r="J1" i="8"/>
  <c r="J2" i="8"/>
  <c r="J3" i="8"/>
  <c r="J4" i="8"/>
  <c r="J5" i="8"/>
  <c r="J6" i="8"/>
  <c r="J7" i="8"/>
  <c r="I2" i="8"/>
  <c r="I3" i="8"/>
  <c r="I4" i="8"/>
  <c r="I5" i="8"/>
  <c r="I6" i="8"/>
  <c r="I7" i="8"/>
  <c r="I1" i="8"/>
  <c r="F9" i="9" l="1"/>
  <c r="F8" i="9"/>
  <c r="G7" i="9"/>
  <c r="A7" i="8"/>
  <c r="B7" i="8" s="1"/>
  <c r="A6" i="8"/>
  <c r="C6" i="8" s="1"/>
  <c r="A5" i="8"/>
  <c r="B5" i="8" s="1"/>
  <c r="A4" i="8"/>
  <c r="C4" i="8" s="1"/>
  <c r="A3" i="8"/>
  <c r="B3" i="8" s="1"/>
  <c r="A2" i="8"/>
  <c r="B2" i="8" s="1"/>
  <c r="A1" i="8"/>
  <c r="A11" i="8" s="1"/>
  <c r="A21" i="8" s="1"/>
  <c r="D5" i="8" l="1"/>
  <c r="E5" i="8" s="1"/>
  <c r="C5" i="8"/>
  <c r="A15" i="8"/>
  <c r="A12" i="8"/>
  <c r="A14" i="8"/>
  <c r="A16" i="8"/>
  <c r="D6" i="8"/>
  <c r="B6" i="8"/>
  <c r="A17" i="8"/>
  <c r="A13" i="8"/>
  <c r="B4" i="8"/>
  <c r="C7" i="8"/>
  <c r="D7" i="8"/>
  <c r="D4" i="8"/>
  <c r="C23" i="2"/>
  <c r="C41" i="2" s="1"/>
  <c r="L23" i="2"/>
  <c r="K23" i="2"/>
  <c r="J23" i="2"/>
  <c r="J41" i="2" s="1"/>
  <c r="H23" i="2"/>
  <c r="H41" i="2" s="1"/>
  <c r="G23" i="2"/>
  <c r="G41" i="2" s="1"/>
  <c r="F23" i="2"/>
  <c r="F41" i="2" s="1"/>
  <c r="D23" i="2"/>
  <c r="D41" i="2" s="1"/>
  <c r="B23" i="2"/>
  <c r="B41" i="2" s="1"/>
  <c r="L41" i="2"/>
  <c r="K41" i="2"/>
  <c r="B18" i="2"/>
  <c r="D13" i="9" s="1"/>
  <c r="F18" i="2"/>
  <c r="E13" i="9" s="1"/>
  <c r="J18" i="2"/>
  <c r="F13" i="9" s="1"/>
  <c r="H13" i="9" l="1"/>
  <c r="G13" i="9"/>
  <c r="I13" i="9"/>
  <c r="E6" i="8"/>
  <c r="E4" i="8"/>
  <c r="B13" i="8"/>
  <c r="C13" i="8"/>
  <c r="A23" i="8"/>
  <c r="D13" i="8"/>
  <c r="C16" i="8"/>
  <c r="B16" i="8"/>
  <c r="A26" i="8"/>
  <c r="D16" i="8"/>
  <c r="E7" i="8"/>
  <c r="C17" i="8"/>
  <c r="D17" i="8"/>
  <c r="A27" i="8"/>
  <c r="B17" i="8"/>
  <c r="C14" i="8"/>
  <c r="A24" i="8"/>
  <c r="D14" i="8"/>
  <c r="B14" i="8"/>
  <c r="B12" i="8"/>
  <c r="A22" i="8"/>
  <c r="C12" i="8"/>
  <c r="D12" i="8"/>
  <c r="A25" i="8"/>
  <c r="C15" i="8"/>
  <c r="D15" i="8"/>
  <c r="B15" i="8"/>
  <c r="A19" i="2"/>
  <c r="E13" i="8" l="1"/>
  <c r="D27" i="8"/>
  <c r="C27" i="8"/>
  <c r="B27" i="8"/>
  <c r="B22" i="8"/>
  <c r="C22" i="8"/>
  <c r="D22" i="8"/>
  <c r="B24" i="8"/>
  <c r="C24" i="8"/>
  <c r="D24" i="8"/>
  <c r="C26" i="8"/>
  <c r="B26" i="8"/>
  <c r="D26" i="8"/>
  <c r="B23" i="8"/>
  <c r="C23" i="8"/>
  <c r="D23" i="8"/>
  <c r="C25" i="8"/>
  <c r="B25" i="8"/>
  <c r="D25" i="8"/>
  <c r="E12" i="8"/>
  <c r="E16" i="8"/>
  <c r="E15" i="8"/>
  <c r="E14" i="8"/>
  <c r="E17" i="8"/>
  <c r="B42" i="2"/>
  <c r="J24" i="2"/>
  <c r="J42" i="2" s="1"/>
  <c r="F24" i="2"/>
  <c r="F42" i="2" s="1"/>
  <c r="B24" i="2"/>
  <c r="E27" i="8" l="1"/>
  <c r="E24" i="8"/>
  <c r="E22" i="8"/>
  <c r="E26" i="8"/>
  <c r="E25" i="8"/>
  <c r="E23" i="8"/>
  <c r="C2" i="8" l="1"/>
  <c r="D2" i="8"/>
  <c r="C3" i="8"/>
  <c r="D3" i="8"/>
  <c r="D1" i="8"/>
  <c r="C1" i="8"/>
  <c r="B1" i="8"/>
  <c r="D21" i="8"/>
  <c r="D28" i="8" s="1"/>
  <c r="C21" i="8"/>
  <c r="C28" i="8" s="1"/>
  <c r="B21" i="8"/>
  <c r="B28" i="8" s="1"/>
  <c r="D11" i="8"/>
  <c r="D18" i="8" s="1"/>
  <c r="C11" i="8"/>
  <c r="C18" i="8" s="1"/>
  <c r="B11" i="8"/>
  <c r="B18" i="8" s="1"/>
  <c r="B8" i="8" l="1"/>
  <c r="D8" i="8"/>
  <c r="C8" i="8"/>
  <c r="E2" i="8"/>
  <c r="E3" i="8"/>
  <c r="E11" i="8"/>
  <c r="E18" i="8" s="1"/>
  <c r="E21" i="8"/>
  <c r="E28" i="8" s="1"/>
  <c r="E1" i="8"/>
  <c r="E8" i="8" l="1"/>
  <c r="E29" i="8" s="1"/>
  <c r="F54" i="2"/>
  <c r="J54" i="2"/>
  <c r="I3" i="2"/>
  <c r="E3" i="2"/>
  <c r="B36" i="2"/>
  <c r="E15" i="9" l="1"/>
  <c r="H15" i="9" s="1"/>
  <c r="F15" i="9"/>
  <c r="I15" i="9" s="1"/>
  <c r="D14" i="9"/>
  <c r="B54" i="2"/>
  <c r="D15" i="9" s="1"/>
  <c r="G15" i="9" s="1"/>
  <c r="J36" i="2"/>
  <c r="F36" i="2"/>
  <c r="E14" i="9" s="1"/>
  <c r="H14" i="9" l="1"/>
  <c r="H23" i="9" s="1"/>
  <c r="E23" i="9"/>
  <c r="G14" i="9"/>
  <c r="G23" i="9" s="1"/>
  <c r="D23" i="9"/>
  <c r="F14" i="9"/>
  <c r="A37" i="2"/>
  <c r="A55" i="2"/>
  <c r="I14" i="9" l="1"/>
  <c r="I23" i="9" s="1"/>
  <c r="F23" i="9"/>
  <c r="C40" i="9"/>
  <c r="C41" i="9"/>
  <c r="C36" i="9"/>
  <c r="C37" i="9"/>
  <c r="C39" i="9"/>
  <c r="C35" i="9"/>
  <c r="C38" i="9"/>
  <c r="E38" i="9" s="1"/>
  <c r="E40" i="9" l="1"/>
  <c r="E37" i="9"/>
  <c r="E36" i="9"/>
  <c r="E35" i="9"/>
  <c r="C42" i="9"/>
  <c r="D38" i="9" s="1"/>
  <c r="E41" i="9"/>
  <c r="E39" i="9"/>
  <c r="D41" i="9" l="1"/>
  <c r="D37" i="9"/>
  <c r="D36" i="9"/>
  <c r="D40" i="9"/>
  <c r="D39" i="9"/>
  <c r="D35" i="9"/>
  <c r="D42" i="9" l="1"/>
  <c r="K2" i="8"/>
  <c r="K6" i="8"/>
  <c r="K4" i="8"/>
  <c r="K5" i="8"/>
  <c r="K3" i="8"/>
  <c r="K7" i="8"/>
  <c r="K1" i="8"/>
  <c r="K8" i="8" l="1"/>
  <c r="B2" i="9" l="1"/>
  <c r="C2" i="9" s="1"/>
  <c r="L13" i="9" l="1"/>
  <c r="J13" i="9"/>
  <c r="K13" i="9"/>
  <c r="B3" i="9"/>
  <c r="C3" i="9" s="1"/>
  <c r="I1" i="9" s="1"/>
  <c r="B4" i="9"/>
  <c r="C4" i="9" s="1"/>
  <c r="J14" i="9" l="1"/>
  <c r="L14" i="9"/>
  <c r="L23" i="9" s="1"/>
  <c r="K14" i="9"/>
  <c r="K15" i="9"/>
  <c r="L15" i="9"/>
  <c r="J15" i="9"/>
  <c r="K23" i="9" l="1"/>
  <c r="J23" i="9"/>
  <c r="J24" i="9" s="1"/>
  <c r="K28" i="9" s="1"/>
  <c r="L28" i="9" s="1"/>
  <c r="K29" i="9" l="1"/>
  <c r="L29" i="9" s="1"/>
  <c r="A48" i="9" s="1"/>
  <c r="K3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Yazar</author>
  </authors>
  <commentList>
    <comment ref="B1" authorId="0" shapeId="0" xr:uid="{FFB07339-073E-41F7-821D-6AF71C124229}">
      <text>
        <r>
          <rPr>
            <b/>
            <sz val="9"/>
            <color indexed="81"/>
            <rFont val="Tahoma"/>
            <family val="2"/>
            <charset val="162"/>
          </rPr>
          <t>Yazar:</t>
        </r>
        <r>
          <rPr>
            <sz val="9"/>
            <color indexed="81"/>
            <rFont val="Tahoma"/>
            <family val="2"/>
            <charset val="162"/>
          </rPr>
          <t xml:space="preserve">
Çalışma alanının vejetasyon, eğim, besin girdisi gibi durumları gözetilerek farklı istasyonlara ayrılabilir ya da avlak sahası bazında çalışılaiblir. Böyle durumlarda belirlenen her bir istasyonun (bölgenin) alanı bilinmelidir. </t>
        </r>
      </text>
    </comment>
    <comment ref="I1" authorId="0" shapeId="0" xr:uid="{E026A117-8FD8-4BC9-8B3E-E901D40D2652}">
      <text>
        <r>
          <rPr>
            <b/>
            <sz val="9"/>
            <color indexed="81"/>
            <rFont val="Tahoma"/>
            <family val="2"/>
            <charset val="162"/>
          </rPr>
          <t>Yazar:</t>
        </r>
        <r>
          <rPr>
            <sz val="9"/>
            <color indexed="81"/>
            <rFont val="Tahoma"/>
            <family val="2"/>
            <charset val="162"/>
          </rPr>
          <t xml:space="preserve">
Baraj gölünün metrekare cinsinden alanı</t>
        </r>
      </text>
    </comment>
    <comment ref="H3" authorId="0" shapeId="0" xr:uid="{4DFE3D5E-F672-4C4D-B99C-803FBCDFC003}">
      <text>
        <r>
          <rPr>
            <b/>
            <sz val="9"/>
            <color indexed="81"/>
            <rFont val="Tahoma"/>
            <family val="2"/>
            <charset val="162"/>
          </rPr>
          <t>Yazar:</t>
        </r>
        <r>
          <rPr>
            <sz val="9"/>
            <color indexed="81"/>
            <rFont val="Tahoma"/>
            <family val="2"/>
            <charset val="162"/>
          </rPr>
          <t xml:space="preserve">
Dikkat edilecek nokta su Kullanılması gereken  ağ göz açıklıklarına karar verilmesi için su kaynağındaki ticari türlerin bilinmesi gereklidir</t>
        </r>
      </text>
    </comment>
    <comment ref="A6" authorId="0" shapeId="0" xr:uid="{B02A78AD-ABEC-4985-9515-ED284C67A8C8}">
      <text>
        <r>
          <rPr>
            <b/>
            <sz val="9"/>
            <color indexed="81"/>
            <rFont val="Tahoma"/>
            <family val="2"/>
            <charset val="162"/>
          </rPr>
          <t>Yazar:</t>
        </r>
        <r>
          <rPr>
            <sz val="9"/>
            <color indexed="81"/>
            <rFont val="Tahoma"/>
            <family val="2"/>
            <charset val="162"/>
          </rPr>
          <t xml:space="preserve">
Denemeler için yeterli gördüğümüz sayıda farklı göz açıklığına sahip ağlarla bir "ağ takımı" oluşturuyoruz.</t>
        </r>
      </text>
    </comment>
    <comment ref="B6" authorId="0" shapeId="0" xr:uid="{B4B81F80-8299-441C-B5AF-9B9FB8CAD5CA}">
      <text>
        <r>
          <rPr>
            <b/>
            <sz val="9"/>
            <color indexed="81"/>
            <rFont val="Tahoma"/>
            <family val="2"/>
            <charset val="162"/>
          </rPr>
          <t>Yazar:</t>
        </r>
        <r>
          <rPr>
            <sz val="9"/>
            <color indexed="81"/>
            <rFont val="Tahoma"/>
            <family val="2"/>
            <charset val="162"/>
          </rPr>
          <t xml:space="preserve">
Karşılıklı iki düğüm arasındaki mesafe (karenin iki kenarının uzunluğu)</t>
        </r>
      </text>
    </comment>
    <comment ref="C6" authorId="0" shapeId="0" xr:uid="{589866D1-17AA-430A-B055-0817AB25D590}">
      <text>
        <r>
          <rPr>
            <b/>
            <sz val="9"/>
            <color indexed="81"/>
            <rFont val="Tahoma"/>
            <family val="2"/>
            <charset val="162"/>
          </rPr>
          <t>Yazar:</t>
        </r>
        <r>
          <rPr>
            <sz val="9"/>
            <color indexed="81"/>
            <rFont val="Tahoma"/>
            <family val="2"/>
            <charset val="162"/>
          </rPr>
          <t xml:space="preserve">
Mantar yakanın uzunluğu</t>
        </r>
      </text>
    </comment>
    <comment ref="D6" authorId="0" shapeId="0" xr:uid="{04D13516-7AE5-409A-A7E9-C64883C2F504}">
      <text>
        <r>
          <rPr>
            <b/>
            <sz val="9"/>
            <color indexed="81"/>
            <rFont val="Tahoma"/>
            <family val="2"/>
            <charset val="162"/>
          </rPr>
          <t>Yazar:</t>
        </r>
        <r>
          <rPr>
            <sz val="9"/>
            <color indexed="81"/>
            <rFont val="Tahoma"/>
            <family val="2"/>
            <charset val="162"/>
          </rPr>
          <t xml:space="preserve">
Mantar yakadar kurşun yaka istikametine kaç gözden oluştuğunu ifade eder (genelde  iki tip kullanılır tam boy :100 göz, yarım boy: 50 göz) sığ bölgelerde avcılık yapanlar yarım boy tercih eder</t>
        </r>
      </text>
    </comment>
    <comment ref="E6" authorId="0" shapeId="0" xr:uid="{0297DFD6-242C-469D-825D-F700D1D38ECA}">
      <text>
        <r>
          <rPr>
            <b/>
            <sz val="9"/>
            <color indexed="81"/>
            <rFont val="Tahoma"/>
            <family val="2"/>
            <charset val="162"/>
          </rPr>
          <t>Yazar:</t>
        </r>
        <r>
          <rPr>
            <sz val="9"/>
            <color indexed="81"/>
            <rFont val="Tahoma"/>
            <family val="2"/>
            <charset val="162"/>
          </rPr>
          <t xml:space="preserve">
Ağın derinliğinin metre cinsinden ifadesidir. Ağ göz açıklığı, ağın derinliğine göz sayısı ve 0,866 sabit katsayısının  çarpımı ile bulunur </t>
        </r>
      </text>
    </comment>
    <comment ref="F6" authorId="0" shapeId="0" xr:uid="{A2090AA9-DDB7-4129-8E12-EFEC45BCA8B7}">
      <text>
        <r>
          <rPr>
            <b/>
            <sz val="9"/>
            <color indexed="81"/>
            <rFont val="Tahoma"/>
            <family val="2"/>
            <charset val="162"/>
          </rPr>
          <t>Yazar:</t>
        </r>
        <r>
          <rPr>
            <sz val="9"/>
            <color indexed="81"/>
            <rFont val="Tahoma"/>
            <family val="2"/>
            <charset val="162"/>
          </rPr>
          <t xml:space="preserve">
Hesaplanan ağın derinliği ile ağın uzunluğunun(mantar yaka uzunluğu)  çarpımı ile hesaplanır</t>
        </r>
      </text>
    </comment>
    <comment ref="G6" authorId="0" shapeId="0" xr:uid="{CE25BB07-1F35-4289-A9A2-8BDFF70D0A04}">
      <text>
        <r>
          <rPr>
            <b/>
            <sz val="9"/>
            <color indexed="81"/>
            <rFont val="Tahoma"/>
            <family val="2"/>
            <charset val="162"/>
          </rPr>
          <t>Yazar:</t>
        </r>
        <r>
          <rPr>
            <sz val="9"/>
            <color indexed="81"/>
            <rFont val="Tahoma"/>
            <family val="2"/>
            <charset val="162"/>
          </rPr>
          <t xml:space="preserve">
Her bir ağ için hesaplanan alanların toplamıdır. Bulunan değer bizim birim alanımızdır.</t>
        </r>
      </text>
    </comment>
    <comment ref="D11" authorId="0" shapeId="0" xr:uid="{0FFD0D75-8C97-48F5-98DB-0131B6C5F222}">
      <text>
        <r>
          <rPr>
            <b/>
            <sz val="9"/>
            <color indexed="81"/>
            <rFont val="Tahoma"/>
            <family val="2"/>
            <charset val="162"/>
          </rPr>
          <t>Yazar:</t>
        </r>
        <r>
          <rPr>
            <sz val="9"/>
            <color indexed="81"/>
            <rFont val="Tahoma"/>
            <family val="2"/>
            <charset val="162"/>
          </rPr>
          <t xml:space="preserve">
İstasyonlarda her bir denemede yakalan balık miktarı kilogram cinsinden.</t>
        </r>
      </text>
    </comment>
    <comment ref="G11" authorId="0" shapeId="0" xr:uid="{72F904F0-2D50-49DC-9E8A-CE5742B5397D}">
      <text>
        <r>
          <rPr>
            <b/>
            <sz val="9"/>
            <color indexed="81"/>
            <rFont val="Tahoma"/>
            <family val="2"/>
            <charset val="162"/>
          </rPr>
          <t>Yazar:</t>
        </r>
        <r>
          <rPr>
            <sz val="9"/>
            <color indexed="81"/>
            <rFont val="Tahoma"/>
            <family val="2"/>
            <charset val="162"/>
          </rPr>
          <t xml:space="preserve">
Çalıştığımız birim alandaki stok yoğunluğunu bulmak için avlanan balık miktarını birim alanımızın metrekaresine bölüyoruz. Bulduğumuz sonuç metrekaredeki balık miktarının kilogram cinsinden ifadesi olur.</t>
        </r>
      </text>
    </comment>
    <comment ref="J11" authorId="0" shapeId="0" xr:uid="{46C033E3-CBA5-4D94-88A2-3C3B2000FF75}">
      <text>
        <r>
          <rPr>
            <b/>
            <sz val="9"/>
            <color indexed="81"/>
            <rFont val="Tahoma"/>
            <family val="2"/>
            <charset val="162"/>
          </rPr>
          <t>Yazar:</t>
        </r>
        <r>
          <rPr>
            <sz val="9"/>
            <color indexed="81"/>
            <rFont val="Tahoma"/>
            <family val="2"/>
            <charset val="162"/>
          </rPr>
          <t xml:space="preserve">
Birim alandaki metrekareye düşen kilogram balık miktarını bulduktan sonra bunu istasyonumuzun (avlak sahamızın ya da bölgemizin) toplam alanıyla çarpıp tüm alandaki balık miktarını hesaplıyoruz</t>
        </r>
      </text>
    </comment>
    <comment ref="A12" authorId="0" shapeId="0" xr:uid="{74B1DA47-9AAC-4E06-9FAD-FBD6453A77AE}">
      <text>
        <r>
          <rPr>
            <b/>
            <sz val="9"/>
            <color indexed="81"/>
            <rFont val="Tahoma"/>
            <family val="2"/>
            <charset val="162"/>
          </rPr>
          <t>Yazar:</t>
        </r>
        <r>
          <rPr>
            <sz val="9"/>
            <color indexed="81"/>
            <rFont val="Tahoma"/>
            <family val="2"/>
            <charset val="162"/>
          </rPr>
          <t xml:space="preserve">
Yapılan avcılık operasyonu sayısı</t>
        </r>
      </text>
    </comment>
    <comment ref="B12" authorId="0" shapeId="0" xr:uid="{52AD80AE-AEE6-4C9B-BFA7-C1B64D593A2E}">
      <text>
        <r>
          <rPr>
            <b/>
            <sz val="9"/>
            <color indexed="81"/>
            <rFont val="Tahoma"/>
            <family val="2"/>
            <charset val="162"/>
          </rPr>
          <t>Yazar:</t>
        </r>
        <r>
          <rPr>
            <sz val="9"/>
            <color indexed="81"/>
            <rFont val="Tahoma"/>
            <family val="2"/>
            <charset val="162"/>
          </rPr>
          <t xml:space="preserve">
Dursun Avşar hoca cyprinidlerin kışın az hareket etmesi nedeniyle denemelerini mayıs-ekim arası yapmış fakat sizler sezon süresince ya da uygun bulduğunuz bir dönemde de yapabilirsiniz</t>
        </r>
      </text>
    </comment>
    <comment ref="C12" authorId="0" shapeId="0" xr:uid="{B28CEB74-88F4-4401-9D13-EECA9B9AAE22}">
      <text>
        <r>
          <rPr>
            <b/>
            <sz val="9"/>
            <color indexed="81"/>
            <rFont val="Tahoma"/>
            <family val="2"/>
            <charset val="162"/>
          </rPr>
          <t>Yazar:</t>
        </r>
        <r>
          <rPr>
            <sz val="9"/>
            <color indexed="81"/>
            <rFont val="Tahoma"/>
            <family val="2"/>
            <charset val="162"/>
          </rPr>
          <t xml:space="preserve">
her operasyonda aynı ağ takımı kullanıldığı için hesaplanmış olan tüm ağların alanı</t>
        </r>
      </text>
    </comment>
    <comment ref="J24" authorId="0" shapeId="0" xr:uid="{B8BC1E9E-1A6B-427C-ACDA-E32D29F142CC}">
      <text>
        <r>
          <rPr>
            <b/>
            <sz val="9"/>
            <color indexed="81"/>
            <rFont val="Tahoma"/>
            <family val="2"/>
            <charset val="162"/>
          </rPr>
          <t>Yazar:</t>
        </r>
        <r>
          <rPr>
            <sz val="9"/>
            <color indexed="81"/>
            <rFont val="Tahoma"/>
            <family val="2"/>
            <charset val="162"/>
          </rPr>
          <t xml:space="preserve">
Eğer toplam alanın stoğu hesaplanacaksa bu alanları toplayım genel sonuca ulaşabiliriz. Unutmayınızki bulunan sonuç avlanmasına müsaade edeceğimiz miktar demek değil, kullandığımız apların seçiciliği sınırları arasında kalan balık miktarıdır.</t>
        </r>
      </text>
    </comment>
    <comment ref="F27" authorId="0" shapeId="0" xr:uid="{4A435C4B-9EAC-4439-87FD-CBFABCACA9EB}">
      <text>
        <r>
          <rPr>
            <b/>
            <sz val="9"/>
            <color indexed="81"/>
            <rFont val="Tahoma"/>
            <family val="2"/>
            <charset val="162"/>
          </rPr>
          <t>Yazar:</t>
        </r>
        <r>
          <rPr>
            <sz val="9"/>
            <color indexed="81"/>
            <rFont val="Tahoma"/>
            <family val="2"/>
            <charset val="162"/>
          </rPr>
          <t xml:space="preserve">
Stok işletme oranı başka bir deyişle stoktan yararlanma oranıdır, Bu oranı yüksek av baskısı altında olan aşırı sömürülen veya geç cinsel olgunluğa erişen türler için daha düşük hızlı büyüyen ya da yıpranmamış stoklar için daha yüksek alabilirsiniz</t>
        </r>
      </text>
    </comment>
    <comment ref="K28" authorId="0" shapeId="0" xr:uid="{0B403903-E0C1-444E-8241-70614FE54B19}">
      <text>
        <r>
          <rPr>
            <b/>
            <sz val="9"/>
            <color indexed="81"/>
            <rFont val="Tahoma"/>
            <family val="2"/>
            <charset val="162"/>
          </rPr>
          <t>Yazar:</t>
        </r>
        <r>
          <rPr>
            <sz val="9"/>
            <color indexed="81"/>
            <rFont val="Tahoma"/>
            <family val="2"/>
            <charset val="162"/>
          </rPr>
          <t xml:space="preserve">
Sonuç olarak bulduğumuz toplam stok miktarını uygun bulduğumuz E değeriyle çarpıp  kiralamaya eas stok miktarını tahmin etmiş oluyoruz.</t>
        </r>
      </text>
    </comment>
    <comment ref="C33" authorId="0" shapeId="0" xr:uid="{6B26BBED-42F0-4D8C-8A91-0D69BAE40ABC}">
      <text>
        <r>
          <rPr>
            <b/>
            <sz val="9"/>
            <color indexed="81"/>
            <rFont val="Tahoma"/>
            <family val="2"/>
            <charset val="162"/>
          </rPr>
          <t>Yazar:</t>
        </r>
        <r>
          <rPr>
            <sz val="9"/>
            <color indexed="81"/>
            <rFont val="Tahoma"/>
            <family val="2"/>
            <charset val="162"/>
          </rPr>
          <t xml:space="preserve">
Tüm avcılıklarımızda tür bazında avladığımız balık miktarları</t>
        </r>
      </text>
    </comment>
    <comment ref="D33" authorId="0" shapeId="0" xr:uid="{8E6010C3-898D-4469-A030-D4AE62577F0C}">
      <text>
        <r>
          <rPr>
            <b/>
            <sz val="9"/>
            <color indexed="81"/>
            <rFont val="Tahoma"/>
            <family val="2"/>
            <charset val="162"/>
          </rPr>
          <t>Yazar:</t>
        </r>
        <r>
          <rPr>
            <sz val="9"/>
            <color indexed="81"/>
            <rFont val="Tahoma"/>
            <family val="2"/>
            <charset val="162"/>
          </rPr>
          <t xml:space="preserve">
Avladığımız toplam avdaki ticari türlerin oranını aynı zamanda populasyondaki oranı olarak da kabul edebiliriz.</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Yazar</author>
  </authors>
  <commentList>
    <comment ref="B1" authorId="0" shapeId="0" xr:uid="{BFE6F5C4-D662-4634-BB3D-12A31167320F}">
      <text>
        <r>
          <rPr>
            <b/>
            <sz val="9"/>
            <color indexed="81"/>
            <rFont val="Tahoma"/>
            <family val="2"/>
            <charset val="162"/>
          </rPr>
          <t>Yazar:</t>
        </r>
        <r>
          <rPr>
            <sz val="9"/>
            <color indexed="81"/>
            <rFont val="Tahoma"/>
            <family val="2"/>
            <charset val="162"/>
          </rPr>
          <t xml:space="preserve">
Çalışma alanının vejetasyon, eğim, besin girdisi gibi durumları gözetilerek farklı istasyonlara ayrılabilir ya da avlak sahası bazında çalışılaiblir. Böyle durumlarda belirlenen her bir istasyonun (bölgenin) alanı bilinmelidir. </t>
        </r>
      </text>
    </comment>
    <comment ref="I1" authorId="0" shapeId="0" xr:uid="{35E81BCF-7EAC-4A1B-8DF8-378D31F762DD}">
      <text>
        <r>
          <rPr>
            <b/>
            <sz val="9"/>
            <color indexed="81"/>
            <rFont val="Tahoma"/>
            <family val="2"/>
            <charset val="162"/>
          </rPr>
          <t>Yazar:</t>
        </r>
        <r>
          <rPr>
            <sz val="9"/>
            <color indexed="81"/>
            <rFont val="Tahoma"/>
            <family val="2"/>
            <charset val="162"/>
          </rPr>
          <t xml:space="preserve">
Baraj gölünün metrekare cinsinden alanı</t>
        </r>
      </text>
    </comment>
    <comment ref="H3" authorId="0" shapeId="0" xr:uid="{8ACBD005-CF56-4730-A5C5-32F32115A76E}">
      <text>
        <r>
          <rPr>
            <b/>
            <sz val="9"/>
            <color indexed="81"/>
            <rFont val="Tahoma"/>
            <family val="2"/>
            <charset val="162"/>
          </rPr>
          <t>Yazar:</t>
        </r>
        <r>
          <rPr>
            <sz val="9"/>
            <color indexed="81"/>
            <rFont val="Tahoma"/>
            <family val="2"/>
            <charset val="162"/>
          </rPr>
          <t xml:space="preserve">
Dikkat edilecek nokta su Kullanılması gereken  ağ göz açıklıklarına karar verilmesi için su kaynağındaki ticari türlerin bilinmesi gereklidir</t>
        </r>
      </text>
    </comment>
    <comment ref="A6" authorId="0" shapeId="0" xr:uid="{8D3CFD17-F80F-46E3-83C8-B4A18A356D0B}">
      <text>
        <r>
          <rPr>
            <b/>
            <sz val="9"/>
            <color indexed="81"/>
            <rFont val="Tahoma"/>
            <family val="2"/>
            <charset val="162"/>
          </rPr>
          <t>Yazar:</t>
        </r>
        <r>
          <rPr>
            <sz val="9"/>
            <color indexed="81"/>
            <rFont val="Tahoma"/>
            <family val="2"/>
            <charset val="162"/>
          </rPr>
          <t xml:space="preserve">
Denemeler için yeterli gördüğümüz sayıda farklı göz açıklığına sahip ağlarla bir "ağ takımı" oluşturuyoruz.</t>
        </r>
      </text>
    </comment>
    <comment ref="B6" authorId="0" shapeId="0" xr:uid="{D5DE3F57-060F-4296-A3AC-C73EF130E2B5}">
      <text>
        <r>
          <rPr>
            <b/>
            <sz val="9"/>
            <color indexed="81"/>
            <rFont val="Tahoma"/>
            <family val="2"/>
            <charset val="162"/>
          </rPr>
          <t>Yazar:</t>
        </r>
        <r>
          <rPr>
            <sz val="9"/>
            <color indexed="81"/>
            <rFont val="Tahoma"/>
            <family val="2"/>
            <charset val="162"/>
          </rPr>
          <t xml:space="preserve">
Karşılıklı iki düğüm arasındaki mesafe (karenin iki kenarının uzunluğu)</t>
        </r>
      </text>
    </comment>
    <comment ref="C6" authorId="0" shapeId="0" xr:uid="{94E5B91B-0F8E-47D2-ABE6-96B3428EE19C}">
      <text>
        <r>
          <rPr>
            <b/>
            <sz val="9"/>
            <color indexed="81"/>
            <rFont val="Tahoma"/>
            <family val="2"/>
            <charset val="162"/>
          </rPr>
          <t>Yazar:</t>
        </r>
        <r>
          <rPr>
            <sz val="9"/>
            <color indexed="81"/>
            <rFont val="Tahoma"/>
            <family val="2"/>
            <charset val="162"/>
          </rPr>
          <t xml:space="preserve">
Mantar yakanın uzunluğu</t>
        </r>
      </text>
    </comment>
    <comment ref="D6" authorId="0" shapeId="0" xr:uid="{D31731F9-C439-4803-AD68-ADBA1774C4CC}">
      <text>
        <r>
          <rPr>
            <b/>
            <sz val="9"/>
            <color indexed="81"/>
            <rFont val="Tahoma"/>
            <family val="2"/>
            <charset val="162"/>
          </rPr>
          <t>Yazar:</t>
        </r>
        <r>
          <rPr>
            <sz val="9"/>
            <color indexed="81"/>
            <rFont val="Tahoma"/>
            <family val="2"/>
            <charset val="162"/>
          </rPr>
          <t xml:space="preserve">
Mantar yakadar kurşun yaka istikametine kaç gözden oluştuğunu ifade eder (genelde  iki tip kullanılır tam boy :100 göz, yarım boy: 50 göz) sığ bölgelerde avcılık yapanlar yarım boy tercih eder</t>
        </r>
      </text>
    </comment>
    <comment ref="E6" authorId="0" shapeId="0" xr:uid="{D6B84302-3488-4322-8A6D-ADC12F16E35F}">
      <text>
        <r>
          <rPr>
            <b/>
            <sz val="9"/>
            <color indexed="81"/>
            <rFont val="Tahoma"/>
            <family val="2"/>
            <charset val="162"/>
          </rPr>
          <t>Yazar:</t>
        </r>
        <r>
          <rPr>
            <sz val="9"/>
            <color indexed="81"/>
            <rFont val="Tahoma"/>
            <family val="2"/>
            <charset val="162"/>
          </rPr>
          <t xml:space="preserve">
Ağın derinliğinin metre cinsinden ifadesidir. Ağ göz açıklığı, ağın derinliğine göz sayısı ve 0,866 sabit katsayısının  çarpımı ile bulunur </t>
        </r>
      </text>
    </comment>
    <comment ref="F6" authorId="0" shapeId="0" xr:uid="{2F36A929-D7EA-4CF2-9639-D398017369DB}">
      <text>
        <r>
          <rPr>
            <b/>
            <sz val="9"/>
            <color indexed="81"/>
            <rFont val="Tahoma"/>
            <family val="2"/>
            <charset val="162"/>
          </rPr>
          <t>Yazar:</t>
        </r>
        <r>
          <rPr>
            <sz val="9"/>
            <color indexed="81"/>
            <rFont val="Tahoma"/>
            <family val="2"/>
            <charset val="162"/>
          </rPr>
          <t xml:space="preserve">
Hesaplanan ağın derinliği ile ağın uzunluğunun(mantar yaka uzunluğu)  çarpımı ile hesaplanır</t>
        </r>
      </text>
    </comment>
    <comment ref="G6" authorId="0" shapeId="0" xr:uid="{319AD9A4-D5B6-4A0C-BFD7-45A10DDD2DC6}">
      <text>
        <r>
          <rPr>
            <b/>
            <sz val="9"/>
            <color indexed="81"/>
            <rFont val="Tahoma"/>
            <family val="2"/>
            <charset val="162"/>
          </rPr>
          <t>Yazar:</t>
        </r>
        <r>
          <rPr>
            <sz val="9"/>
            <color indexed="81"/>
            <rFont val="Tahoma"/>
            <family val="2"/>
            <charset val="162"/>
          </rPr>
          <t xml:space="preserve">
Her bir ağ için hesaplanan alanların toplamıdır. Bulunan değer bizim birim alanımızdır.</t>
        </r>
      </text>
    </comment>
    <comment ref="D11" authorId="0" shapeId="0" xr:uid="{D49132B4-3E0B-4A5C-96B8-DBAA9F584CD9}">
      <text>
        <r>
          <rPr>
            <b/>
            <sz val="9"/>
            <color indexed="81"/>
            <rFont val="Tahoma"/>
            <family val="2"/>
            <charset val="162"/>
          </rPr>
          <t>Yazar:</t>
        </r>
        <r>
          <rPr>
            <sz val="9"/>
            <color indexed="81"/>
            <rFont val="Tahoma"/>
            <family val="2"/>
            <charset val="162"/>
          </rPr>
          <t xml:space="preserve">
İstasyonlarda her bir denemede yakalan balık miktarı kilogram cinsinden.</t>
        </r>
      </text>
    </comment>
    <comment ref="G11" authorId="0" shapeId="0" xr:uid="{2DEC431C-9B09-4233-93A6-79361FEB8F5F}">
      <text>
        <r>
          <rPr>
            <b/>
            <sz val="9"/>
            <color indexed="81"/>
            <rFont val="Tahoma"/>
            <family val="2"/>
            <charset val="162"/>
          </rPr>
          <t>Yazar:</t>
        </r>
        <r>
          <rPr>
            <sz val="9"/>
            <color indexed="81"/>
            <rFont val="Tahoma"/>
            <family val="2"/>
            <charset val="162"/>
          </rPr>
          <t xml:space="preserve">
Çalıştığımız birim alandaki stok yoğunluğunu bulmak için avlanan balık miktarını birim alanımızın metrekaresine bölüyoruz. Bulduğumuz sonuç metrekaredeki balık miktarının kilogram cinsinden ifadesi olur.</t>
        </r>
      </text>
    </comment>
    <comment ref="J11" authorId="0" shapeId="0" xr:uid="{BC5728BC-355F-4503-B7C3-8F7435E77257}">
      <text>
        <r>
          <rPr>
            <b/>
            <sz val="9"/>
            <color indexed="81"/>
            <rFont val="Tahoma"/>
            <family val="2"/>
            <charset val="162"/>
          </rPr>
          <t>Yazar:</t>
        </r>
        <r>
          <rPr>
            <sz val="9"/>
            <color indexed="81"/>
            <rFont val="Tahoma"/>
            <family val="2"/>
            <charset val="162"/>
          </rPr>
          <t xml:space="preserve">
Birim alandaki metrekareye düşen kilogram balık miktarını bulduktan sonra bunu istasyonumuzun (avlak sahamızın ya da bölgemizin) toplam alanıyla çarpıp tüm alandaki balık miktarını hesaplıyoruz</t>
        </r>
      </text>
    </comment>
    <comment ref="A12" authorId="0" shapeId="0" xr:uid="{DE3C1154-E242-46FE-ADE9-9EA68393E6E6}">
      <text>
        <r>
          <rPr>
            <b/>
            <sz val="9"/>
            <color indexed="81"/>
            <rFont val="Tahoma"/>
            <family val="2"/>
            <charset val="162"/>
          </rPr>
          <t>Yazar:</t>
        </r>
        <r>
          <rPr>
            <sz val="9"/>
            <color indexed="81"/>
            <rFont val="Tahoma"/>
            <family val="2"/>
            <charset val="162"/>
          </rPr>
          <t xml:space="preserve">
Yapılan avcılık operasyonu sayısı</t>
        </r>
      </text>
    </comment>
    <comment ref="B12" authorId="0" shapeId="0" xr:uid="{B4C30AEF-D796-4B8A-AD7E-B4F66F5CA128}">
      <text>
        <r>
          <rPr>
            <b/>
            <sz val="9"/>
            <color indexed="81"/>
            <rFont val="Tahoma"/>
            <family val="2"/>
            <charset val="162"/>
          </rPr>
          <t>Yazar:</t>
        </r>
        <r>
          <rPr>
            <sz val="9"/>
            <color indexed="81"/>
            <rFont val="Tahoma"/>
            <family val="2"/>
            <charset val="162"/>
          </rPr>
          <t xml:space="preserve">
Dursun Avşar hoca cyprinidlerin kışın az hareket etmesi nedeniyle denemelerini mayıs-ekim arası yapmış fakat sizler sezon süresince ya da uygun bulduğunuz bir dönemde de yapabilirsiniz</t>
        </r>
      </text>
    </comment>
    <comment ref="C12" authorId="0" shapeId="0" xr:uid="{CB24D905-AB57-4344-9506-7495544ED986}">
      <text>
        <r>
          <rPr>
            <b/>
            <sz val="9"/>
            <color indexed="81"/>
            <rFont val="Tahoma"/>
            <family val="2"/>
            <charset val="162"/>
          </rPr>
          <t>Yazar:</t>
        </r>
        <r>
          <rPr>
            <sz val="9"/>
            <color indexed="81"/>
            <rFont val="Tahoma"/>
            <family val="2"/>
            <charset val="162"/>
          </rPr>
          <t xml:space="preserve">
her operasyonda aynı ağ takımı kullanıldığı için hesaplanmış olan tüm ağların alanı</t>
        </r>
      </text>
    </comment>
    <comment ref="J24" authorId="0" shapeId="0" xr:uid="{29223852-9152-40E6-84F7-E04DEBF7CC43}">
      <text>
        <r>
          <rPr>
            <b/>
            <sz val="9"/>
            <color indexed="81"/>
            <rFont val="Tahoma"/>
            <family val="2"/>
            <charset val="162"/>
          </rPr>
          <t>Yazar:</t>
        </r>
        <r>
          <rPr>
            <sz val="9"/>
            <color indexed="81"/>
            <rFont val="Tahoma"/>
            <family val="2"/>
            <charset val="162"/>
          </rPr>
          <t xml:space="preserve">
Eğer toplam alanın stoğu hesaplanacaksa bu alanları toplayım genel sonuca ulaşabiliriz. Unutmayınızki bulunan sonuç avlanmasına müsaade edeceğimiz miktar demek değil, kullandığımız apların seçiciliği sınırları arasında kalan balık miktarıdır.</t>
        </r>
      </text>
    </comment>
    <comment ref="F27" authorId="0" shapeId="0" xr:uid="{FE470BEB-E9AB-45BA-926C-6B0D0B7ABCFE}">
      <text>
        <r>
          <rPr>
            <b/>
            <sz val="9"/>
            <color indexed="81"/>
            <rFont val="Tahoma"/>
            <family val="2"/>
            <charset val="162"/>
          </rPr>
          <t>Yazar:</t>
        </r>
        <r>
          <rPr>
            <sz val="9"/>
            <color indexed="81"/>
            <rFont val="Tahoma"/>
            <family val="2"/>
            <charset val="162"/>
          </rPr>
          <t xml:space="preserve">
Stok işletme oranı başka bir deyişle stoktan yararlanma oranıdır, Bu oranı yüksek av baskısı altında olan aşırı sömürülen veya geç cinsel olgunluğa erişen türler için daha düşük hızlı büyüyen ya da yıpranmamış stoklar için daha yüksek alabilirsiniz</t>
        </r>
      </text>
    </comment>
    <comment ref="K28" authorId="0" shapeId="0" xr:uid="{73FF2FBF-D7E1-44CA-AAF7-E07D1EB446E4}">
      <text>
        <r>
          <rPr>
            <b/>
            <sz val="9"/>
            <color indexed="81"/>
            <rFont val="Tahoma"/>
            <family val="2"/>
            <charset val="162"/>
          </rPr>
          <t>Yazar:</t>
        </r>
        <r>
          <rPr>
            <sz val="9"/>
            <color indexed="81"/>
            <rFont val="Tahoma"/>
            <family val="2"/>
            <charset val="162"/>
          </rPr>
          <t xml:space="preserve">
Sonuç olarak bulduğumuz toplam stok miktarını uygun bulduğumuz E değeriyle çarpıp  kiralamaya eas stok miktarını tahmin etmiş oluyoruz.</t>
        </r>
      </text>
    </comment>
    <comment ref="C33" authorId="0" shapeId="0" xr:uid="{21C90256-99B9-4C44-BA7A-8A8BFE9AE56D}">
      <text>
        <r>
          <rPr>
            <b/>
            <sz val="9"/>
            <color indexed="81"/>
            <rFont val="Tahoma"/>
            <family val="2"/>
            <charset val="162"/>
          </rPr>
          <t>Yazar:</t>
        </r>
        <r>
          <rPr>
            <sz val="9"/>
            <color indexed="81"/>
            <rFont val="Tahoma"/>
            <family val="2"/>
            <charset val="162"/>
          </rPr>
          <t xml:space="preserve">
Tüm avcılıklarımızda tür bazında avladığımız balık miktarları</t>
        </r>
      </text>
    </comment>
    <comment ref="D33" authorId="0" shapeId="0" xr:uid="{37992570-3781-439B-BA93-D6EDC66BBEF1}">
      <text>
        <r>
          <rPr>
            <b/>
            <sz val="9"/>
            <color indexed="81"/>
            <rFont val="Tahoma"/>
            <family val="2"/>
            <charset val="162"/>
          </rPr>
          <t>Yazar:</t>
        </r>
        <r>
          <rPr>
            <sz val="9"/>
            <color indexed="81"/>
            <rFont val="Tahoma"/>
            <family val="2"/>
            <charset val="162"/>
          </rPr>
          <t xml:space="preserve">
Avladığımız toplam avdaki ticari türlerin oranını aynı zamanda populasyondaki oranı olarak da kabul edebiliriz.</t>
        </r>
      </text>
    </comment>
  </commentList>
</comments>
</file>

<file path=xl/sharedStrings.xml><?xml version="1.0" encoding="utf-8"?>
<sst xmlns="http://schemas.openxmlformats.org/spreadsheetml/2006/main" count="291" uniqueCount="77">
  <si>
    <t>1. İSTASYON</t>
  </si>
  <si>
    <t>AV ARACI</t>
  </si>
  <si>
    <t>KOORDİNAT</t>
  </si>
  <si>
    <t>TÜRLER</t>
  </si>
  <si>
    <t>Çizelgede verilen tarihler ağların koordinatlara kurulduğu tarihtir.</t>
  </si>
  <si>
    <t>Çekimler bir sonraki gün saat 08:00-10:00 arasında yapılmıştır.</t>
  </si>
  <si>
    <t>Diğer günlerde av miktarının az oluşu ağların suda uzun süre kalıp çamur kaplanmasından kaynaklandığı anlaşılmıştır.</t>
  </si>
  <si>
    <t>Ağırlık (kg)</t>
  </si>
  <si>
    <t>Boy (cm)</t>
  </si>
  <si>
    <t>Sazan</t>
  </si>
  <si>
    <t>Yayın</t>
  </si>
  <si>
    <t>Sudak</t>
  </si>
  <si>
    <t>Toplam</t>
  </si>
  <si>
    <t>Balıkçı Sayısı</t>
  </si>
  <si>
    <t>Ticari Türler</t>
  </si>
  <si>
    <t>Avlanan Miktarlar (kg)</t>
  </si>
  <si>
    <t>Birim alandaki stok yoğunluğu (kg/m2)</t>
  </si>
  <si>
    <t>Toplam Stok (kg)</t>
  </si>
  <si>
    <t>Ağlar</t>
  </si>
  <si>
    <t>Ağ göz açıklığı (mm)</t>
  </si>
  <si>
    <t>Ağ uzunluğu (m)</t>
  </si>
  <si>
    <t>Derinlik Göz Sayısı (adet)</t>
  </si>
  <si>
    <t>Ağın Derinliği (m)</t>
  </si>
  <si>
    <r>
      <t>Ağın Alanı (m</t>
    </r>
    <r>
      <rPr>
        <vertAlign val="superscript"/>
        <sz val="11"/>
        <color theme="1"/>
        <rFont val="Calibri"/>
        <family val="2"/>
        <charset val="162"/>
        <scheme val="minor"/>
      </rPr>
      <t>2</t>
    </r>
    <r>
      <rPr>
        <sz val="11"/>
        <color theme="1"/>
        <rFont val="Calibri"/>
        <family val="2"/>
        <charset val="162"/>
        <scheme val="minor"/>
      </rPr>
      <t>)</t>
    </r>
  </si>
  <si>
    <r>
      <t>Tüm Ağların Alanı (m</t>
    </r>
    <r>
      <rPr>
        <vertAlign val="superscript"/>
        <sz val="11"/>
        <color theme="1"/>
        <rFont val="Calibri"/>
        <family val="2"/>
        <charset val="162"/>
        <scheme val="minor"/>
      </rPr>
      <t>2</t>
    </r>
    <r>
      <rPr>
        <sz val="11"/>
        <color theme="1"/>
        <rFont val="Calibri"/>
        <family val="2"/>
        <scheme val="minor"/>
      </rPr>
      <t>)</t>
    </r>
  </si>
  <si>
    <t>Avcılık No:</t>
  </si>
  <si>
    <t>Avcılık Tarihi</t>
  </si>
  <si>
    <r>
      <t>Ağların alanı (m</t>
    </r>
    <r>
      <rPr>
        <vertAlign val="superscript"/>
        <sz val="11"/>
        <color theme="1"/>
        <rFont val="Calibri"/>
        <family val="2"/>
        <charset val="162"/>
        <scheme val="minor"/>
      </rPr>
      <t>2</t>
    </r>
    <r>
      <rPr>
        <sz val="11"/>
        <color theme="1"/>
        <rFont val="Calibri"/>
        <family val="2"/>
        <scheme val="minor"/>
      </rPr>
      <t>)</t>
    </r>
  </si>
  <si>
    <t>1. İst.</t>
  </si>
  <si>
    <t>2. ist.</t>
  </si>
  <si>
    <t>3. ist.</t>
  </si>
  <si>
    <t>İstasyonların alanları (km2)</t>
  </si>
  <si>
    <t>1. İst</t>
  </si>
  <si>
    <t>Ortalama (kg)</t>
  </si>
  <si>
    <t>2. ist</t>
  </si>
  <si>
    <t>Toplam Biyomas (ton)</t>
  </si>
  <si>
    <t>3. ist</t>
  </si>
  <si>
    <t>E= 0,3 ile 0,6 arasında tercih edilebilir, ideal değeri 0,5 olarak kabul edilir</t>
  </si>
  <si>
    <t>Türlerin toplam avdaki oranları</t>
  </si>
  <si>
    <t>0,5 donam faktörüyle donanmış bir ağın derinliğini hesaplamak için kullanılan sabit katsayı</t>
  </si>
  <si>
    <t>Avlanabilir Stok (kiralamaya esas) =</t>
  </si>
  <si>
    <t>Rapor örneği</t>
  </si>
  <si>
    <t>Göz Aç.(mm)</t>
  </si>
  <si>
    <t>Derinlik (m)</t>
  </si>
  <si>
    <t>Boy (m)</t>
  </si>
  <si>
    <t>S. glanis</t>
  </si>
  <si>
    <t>S. lucioperca</t>
  </si>
  <si>
    <t xml:space="preserve">          NOT: Sonuçta her bir tür için ayrı bir stok hesaplayacaksak eğer  her avcılıkta yakaladığımız balıkların ağırlıkça oranlarını tespit etmemiz lazım. Böylece toplamda şu kadar avcılık yaptık şu akdar kilo balık yakaladık bunun %20 si şu türdendi dolayısıyla tespit ettiğimiz stoktaki oranıda budur diyebiliriz.</t>
  </si>
  <si>
    <t>C.carpio</t>
  </si>
  <si>
    <t>Siraz</t>
  </si>
  <si>
    <t>Capoeta sp.</t>
  </si>
  <si>
    <t>Tatlısu kefali</t>
  </si>
  <si>
    <t>S.cephalus</t>
  </si>
  <si>
    <t>Bıyıklı balık</t>
  </si>
  <si>
    <t>Barbus sp.</t>
  </si>
  <si>
    <t>E=0,5</t>
  </si>
  <si>
    <t xml:space="preserve"> alınırsa </t>
  </si>
  <si>
    <t>E=0,3</t>
  </si>
  <si>
    <t>E=0,4</t>
  </si>
  <si>
    <t>03.12.2021</t>
  </si>
  <si>
    <t>07.12.2021</t>
  </si>
  <si>
    <t>08.12.2021</t>
  </si>
  <si>
    <t>41°17'08.9"N   35°11'38.3"E</t>
  </si>
  <si>
    <t>41°16'47.3"N   35°11'32.3"E</t>
  </si>
  <si>
    <t>41°16'27.9"N   35°11'43.1"E</t>
  </si>
  <si>
    <t>02.12.2021-08.12.2021 DURAĞAN ALTINKAYA BARAJ GÖLÜ STOK TESPİT ÇALIŞMASI SONUÇLARI</t>
  </si>
  <si>
    <t>Bıyıklı Balık</t>
  </si>
  <si>
    <t>03.12.2021 de ağlar akşam saat 18:00 de diğer günler sabah çekimden sonra kurulmuştur.</t>
  </si>
  <si>
    <t>2. İSTASYON</t>
  </si>
  <si>
    <t>3. İSTASYON</t>
  </si>
  <si>
    <t>1. İst. 1.Ağ</t>
  </si>
  <si>
    <t>2. ist.1.Ağ</t>
  </si>
  <si>
    <t>3. ist.1.Ağ</t>
  </si>
  <si>
    <t>Kaya balığı</t>
  </si>
  <si>
    <t>P.marmoratus</t>
  </si>
  <si>
    <t>Altınkaya Baraj Gölü</t>
  </si>
  <si>
    <t>Gümişi Balık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</si>
</sst>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 \k\m\²"/>
    <numFmt numFmtId="166" formatCode="#,###\ \m\²"/>
    <numFmt numFmtId="167" formatCode="#,##0.0000000"/>
  </numFmts>
  <fonts count="14" x14ac:knownFonts="1">
    <font>
      <sz val="11"/>
      <color theme="1"/>
      <name val="Calibri"/>
      <family val="2"/>
      <scheme val="minor"/>
    </font>
    <font>
      <sz val="11"/>
      <color theme="1"/>
      <name val="Calibri"/>
      <family val="2"/>
      <charset val="162"/>
      <scheme val="minor"/>
    </font>
    <font>
      <i/>
      <sz val="11"/>
      <color theme="1"/>
      <name val="Calibri"/>
      <family val="2"/>
      <charset val="162"/>
      <scheme val="minor"/>
    </font>
    <font>
      <vertAlign val="superscript"/>
      <sz val="11"/>
      <color theme="1"/>
      <name val="Calibri"/>
      <family val="2"/>
      <charset val="162"/>
      <scheme val="minor"/>
    </font>
    <font>
      <b/>
      <sz val="9"/>
      <color indexed="81"/>
      <name val="Tahoma"/>
      <family val="2"/>
      <charset val="162"/>
    </font>
    <font>
      <sz val="9"/>
      <color indexed="81"/>
      <name val="Tahoma"/>
      <family val="2"/>
      <charset val="162"/>
    </font>
    <font>
      <sz val="11"/>
      <color rgb="FF222222"/>
      <name val="Arial"/>
      <family val="2"/>
      <charset val="162"/>
    </font>
    <font>
      <sz val="11"/>
      <color rgb="FF202124"/>
      <name val="Arial"/>
      <family val="2"/>
      <charset val="162"/>
    </font>
    <font>
      <sz val="11"/>
      <color theme="0"/>
      <name val="Calibri"/>
      <family val="2"/>
      <scheme val="minor"/>
    </font>
    <font>
      <sz val="11"/>
      <name val="Times New Roman"/>
      <family val="1"/>
      <charset val="162"/>
    </font>
    <font>
      <b/>
      <sz val="11"/>
      <name val="Times New Roman"/>
      <family val="1"/>
      <charset val="162"/>
    </font>
    <font>
      <b/>
      <i/>
      <sz val="11"/>
      <name val="Times New Roman"/>
      <family val="1"/>
      <charset val="162"/>
    </font>
    <font>
      <i/>
      <sz val="11"/>
      <name val="Times New Roman"/>
      <family val="1"/>
      <charset val="16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1">
    <xf numFmtId="0" fontId="0" fillId="0" borderId="0" xfId="0"/>
    <xf numFmtId="0" fontId="0" fillId="0" borderId="0" xfId="0" applyAlignment="1">
      <alignment horizontal="center" vertical="center" wrapText="1"/>
    </xf>
    <xf numFmtId="3" fontId="0" fillId="0" borderId="0" xfId="0" applyNumberFormat="1" applyAlignment="1">
      <alignment horizontal="center" vertical="center" wrapText="1"/>
    </xf>
    <xf numFmtId="14" fontId="0" fillId="0" borderId="0" xfId="0" applyNumberFormat="1" applyAlignment="1">
      <alignment horizontal="center" vertical="center" wrapText="1"/>
    </xf>
    <xf numFmtId="4" fontId="0" fillId="0" borderId="0" xfId="0" applyNumberFormat="1" applyAlignment="1">
      <alignment horizontal="center" vertical="center" wrapText="1"/>
    </xf>
    <xf numFmtId="0" fontId="0" fillId="0" borderId="0" xfId="0" applyAlignment="1">
      <alignment vertical="center" wrapText="1"/>
    </xf>
    <xf numFmtId="164" fontId="0" fillId="0" borderId="0" xfId="0" applyNumberFormat="1" applyAlignment="1">
      <alignment horizontal="right" vertical="center" wrapText="1" indent="1"/>
    </xf>
    <xf numFmtId="4" fontId="0" fillId="0" borderId="0" xfId="0" applyNumberFormat="1"/>
    <xf numFmtId="165" fontId="0" fillId="0" borderId="0" xfId="0" applyNumberFormat="1" applyAlignment="1">
      <alignment horizontal="center" vertical="center" wrapText="1"/>
    </xf>
    <xf numFmtId="167" fontId="0" fillId="0" borderId="0" xfId="0" applyNumberFormat="1" applyAlignment="1">
      <alignment horizontal="right" vertical="center" wrapText="1" indent="1"/>
    </xf>
    <xf numFmtId="3" fontId="0" fillId="0" borderId="0" xfId="0" applyNumberFormat="1" applyAlignment="1">
      <alignment horizontal="right" vertical="center" wrapText="1" indent="1"/>
    </xf>
    <xf numFmtId="0" fontId="0" fillId="0" borderId="0" xfId="0" applyAlignment="1">
      <alignment horizontal="center" vertical="center" shrinkToFit="1"/>
    </xf>
    <xf numFmtId="0" fontId="2"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xf>
    <xf numFmtId="0" fontId="0" fillId="0" borderId="0" xfId="0" applyAlignment="1">
      <alignment horizontal="right" vertical="center" wrapText="1"/>
    </xf>
    <xf numFmtId="0" fontId="8" fillId="0" borderId="0" xfId="0" applyFont="1" applyAlignment="1">
      <alignment horizontal="center" vertical="center" wrapText="1"/>
    </xf>
    <xf numFmtId="0" fontId="0" fillId="0" borderId="0" xfId="0" applyAlignment="1">
      <alignment horizontal="center" vertical="center" wrapText="1"/>
    </xf>
    <xf numFmtId="3" fontId="9" fillId="0" borderId="0" xfId="0" applyNumberFormat="1" applyFont="1" applyAlignment="1">
      <alignment horizontal="right" indent="4"/>
    </xf>
    <xf numFmtId="0" fontId="0" fillId="0" borderId="0" xfId="0" applyAlignment="1">
      <alignment horizontal="right" vertical="center" wrapText="1" indent="1"/>
    </xf>
    <xf numFmtId="4" fontId="0" fillId="0" borderId="0" xfId="0" applyNumberFormat="1" applyAlignment="1">
      <alignment horizontal="right" indent="1"/>
    </xf>
    <xf numFmtId="0" fontId="0" fillId="0" borderId="0" xfId="0" applyAlignment="1">
      <alignment horizontal="right" indent="1"/>
    </xf>
    <xf numFmtId="0" fontId="9" fillId="0" borderId="0" xfId="0" applyFont="1"/>
    <xf numFmtId="14" fontId="10" fillId="0" borderId="0" xfId="0" quotePrefix="1" applyNumberFormat="1" applyFont="1" applyAlignment="1">
      <alignment horizontal="left"/>
    </xf>
    <xf numFmtId="14" fontId="10" fillId="0" borderId="0" xfId="0" applyNumberFormat="1" applyFont="1" applyAlignment="1">
      <alignment horizontal="left"/>
    </xf>
    <xf numFmtId="0" fontId="10" fillId="0" borderId="0" xfId="0" applyFont="1" applyAlignment="1">
      <alignment horizontal="center"/>
    </xf>
    <xf numFmtId="0" fontId="10" fillId="0" borderId="0" xfId="0" applyFont="1" applyAlignment="1">
      <alignment horizontal="left" indent="1"/>
    </xf>
    <xf numFmtId="0" fontId="11" fillId="0" borderId="0" xfId="0" applyFont="1" applyAlignment="1">
      <alignment horizontal="center"/>
    </xf>
    <xf numFmtId="0" fontId="9" fillId="0" borderId="0" xfId="0" applyFont="1" applyAlignment="1">
      <alignment horizontal="left" indent="1"/>
    </xf>
    <xf numFmtId="0" fontId="9" fillId="0" borderId="0" xfId="0" applyFont="1" applyAlignment="1">
      <alignment horizontal="right" indent="4"/>
    </xf>
    <xf numFmtId="3" fontId="9" fillId="0" borderId="0" xfId="0" applyNumberFormat="1" applyFont="1" applyAlignment="1">
      <alignment horizontal="left" indent="1"/>
    </xf>
    <xf numFmtId="3" fontId="12" fillId="0" borderId="0" xfId="0" applyNumberFormat="1" applyFont="1" applyAlignment="1">
      <alignment horizontal="right" indent="4"/>
    </xf>
    <xf numFmtId="0" fontId="10" fillId="0" borderId="0" xfId="0" applyFont="1"/>
    <xf numFmtId="164" fontId="9" fillId="0" borderId="0" xfId="0" applyNumberFormat="1" applyFont="1" applyAlignment="1">
      <alignment horizontal="center"/>
    </xf>
    <xf numFmtId="0" fontId="9" fillId="0" borderId="0" xfId="0" applyFont="1" applyAlignment="1">
      <alignment horizontal="center"/>
    </xf>
    <xf numFmtId="0" fontId="10" fillId="0" borderId="0" xfId="0" applyFont="1" applyAlignment="1">
      <alignment horizontal="left"/>
    </xf>
    <xf numFmtId="0" fontId="13" fillId="0" borderId="0" xfId="0" applyFont="1" applyAlignment="1">
      <alignment horizontal="center" vertical="center" wrapText="1"/>
    </xf>
    <xf numFmtId="0" fontId="13" fillId="0" borderId="0" xfId="0" applyFont="1" applyAlignment="1">
      <alignment horizontal="center" vertical="center" shrinkToFit="1"/>
    </xf>
    <xf numFmtId="0" fontId="12" fillId="0" borderId="0" xfId="0" applyFont="1" applyAlignment="1">
      <alignment horizontal="right" indent="4"/>
    </xf>
    <xf numFmtId="0" fontId="11" fillId="0" borderId="0" xfId="0" applyFont="1" applyAlignment="1">
      <alignment horizontal="right" indent="4"/>
    </xf>
    <xf numFmtId="164" fontId="12" fillId="0" borderId="0" xfId="0" applyNumberFormat="1" applyFont="1" applyAlignment="1">
      <alignment horizontal="right" indent="4"/>
    </xf>
    <xf numFmtId="0" fontId="12" fillId="0" borderId="0" xfId="0" applyFont="1" applyAlignment="1">
      <alignment horizontal="left" indent="1"/>
    </xf>
    <xf numFmtId="3" fontId="0" fillId="0" borderId="0" xfId="0" applyNumberFormat="1" applyAlignment="1">
      <alignment horizontal="right" inden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64" fontId="11" fillId="0" borderId="0" xfId="0" applyNumberFormat="1" applyFont="1" applyAlignment="1">
      <alignment horizontal="right" indent="6"/>
    </xf>
    <xf numFmtId="164" fontId="10" fillId="0" borderId="0" xfId="0" applyNumberFormat="1" applyFont="1" applyAlignment="1">
      <alignment horizontal="right" indent="6"/>
    </xf>
    <xf numFmtId="0" fontId="10" fillId="0" borderId="0" xfId="0" applyFont="1" applyAlignment="1">
      <alignment horizontal="right" indent="6"/>
    </xf>
    <xf numFmtId="164" fontId="10" fillId="0" borderId="0" xfId="0" applyNumberFormat="1" applyFont="1" applyAlignment="1">
      <alignment horizontal="center"/>
    </xf>
    <xf numFmtId="164" fontId="12" fillId="0" borderId="0" xfId="0" applyNumberFormat="1" applyFont="1" applyAlignment="1">
      <alignment horizontal="right" indent="6"/>
    </xf>
    <xf numFmtId="164" fontId="9" fillId="0" borderId="0" xfId="0" applyNumberFormat="1" applyFont="1" applyAlignment="1">
      <alignment horizontal="right" indent="6"/>
    </xf>
    <xf numFmtId="0" fontId="9" fillId="0" borderId="0" xfId="0" applyFont="1" applyAlignment="1">
      <alignment horizontal="right" indent="6"/>
    </xf>
    <xf numFmtId="0" fontId="10" fillId="0" borderId="0" xfId="0" applyFont="1" applyAlignment="1">
      <alignment horizontal="center"/>
    </xf>
    <xf numFmtId="14" fontId="10" fillId="0" borderId="0" xfId="0" applyNumberFormat="1" applyFont="1" applyAlignment="1">
      <alignment horizontal="center"/>
    </xf>
    <xf numFmtId="0" fontId="10"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justify" vertical="center" wrapText="1"/>
    </xf>
    <xf numFmtId="166" fontId="0" fillId="0" borderId="0" xfId="0" applyNumberFormat="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DURAĞAN ALTINKAYA </a:t>
            </a:r>
            <a:r>
              <a:rPr lang="tr-TR" baseline="0"/>
              <a:t>BARAJ GÖLÜ BALIK POPULASYONU</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255-471F-A0D0-EFD5DD0A39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255-471F-A0D0-EFD5DD0A394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255-471F-A0D0-EFD5DD0A394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255-471F-A0D0-EFD5DD0A394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255-471F-A0D0-EFD5DD0A394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255-471F-A0D0-EFD5DD0A394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255-471F-A0D0-EFD5DD0A3948}"/>
              </c:ext>
            </c:extLst>
          </c:dPt>
          <c:dLbls>
            <c:dLbl>
              <c:idx val="6"/>
              <c:layout>
                <c:manualLayout>
                  <c:x val="0.10364525935272284"/>
                  <c:y val="2.92655367231638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7255-471F-A0D0-EFD5DD0A39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Sonuç!$B$35:$B$41</c:f>
              <c:strCache>
                <c:ptCount val="7"/>
                <c:pt idx="0">
                  <c:v>C.carpio</c:v>
                </c:pt>
                <c:pt idx="1">
                  <c:v>S. glanis</c:v>
                </c:pt>
                <c:pt idx="2">
                  <c:v>S. lucioperca</c:v>
                </c:pt>
                <c:pt idx="3">
                  <c:v>Capoeta sp.</c:v>
                </c:pt>
                <c:pt idx="4">
                  <c:v>S.cephalus</c:v>
                </c:pt>
                <c:pt idx="5">
                  <c:v>Barbus sp.</c:v>
                </c:pt>
                <c:pt idx="6">
                  <c:v>P.marmoratus</c:v>
                </c:pt>
              </c:strCache>
            </c:strRef>
          </c:cat>
          <c:val>
            <c:numRef>
              <c:f>Sonuç!$C$35:$C$41</c:f>
              <c:numCache>
                <c:formatCode>#,##0.00</c:formatCode>
                <c:ptCount val="7"/>
                <c:pt idx="0">
                  <c:v>18.136000000000003</c:v>
                </c:pt>
                <c:pt idx="1">
                  <c:v>1.85</c:v>
                </c:pt>
                <c:pt idx="2">
                  <c:v>4.1500000000000004</c:v>
                </c:pt>
                <c:pt idx="3">
                  <c:v>6.24</c:v>
                </c:pt>
                <c:pt idx="4">
                  <c:v>3.1900000000000004</c:v>
                </c:pt>
                <c:pt idx="5">
                  <c:v>1.58</c:v>
                </c:pt>
                <c:pt idx="6">
                  <c:v>0</c:v>
                </c:pt>
              </c:numCache>
            </c:numRef>
          </c:val>
          <c:extLst>
            <c:ext xmlns:c16="http://schemas.microsoft.com/office/drawing/2014/chart" uri="{C3380CC4-5D6E-409C-BE32-E72D297353CC}">
              <c16:uniqueId val="{0000000E-7255-471F-A0D0-EFD5DD0A3948}"/>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SARAYDÜZÜ</a:t>
            </a:r>
            <a:r>
              <a:rPr lang="tr-TR" baseline="0"/>
              <a:t> BOYABAT BARAJ GÖLÜ BALIK POPULASYONU</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7AD-40BE-80F3-4E7B0D2A13D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7AD-40BE-80F3-4E7B0D2A13D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7AD-40BE-80F3-4E7B0D2A13D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7AD-40BE-80F3-4E7B0D2A13D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7AD-40BE-80F3-4E7B0D2A13D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7AD-40BE-80F3-4E7B0D2A13D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7AD-40BE-80F3-4E7B0D2A13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[1]Sonuç!$B$35:$B$41</c:f>
              <c:strCache>
                <c:ptCount val="7"/>
                <c:pt idx="0">
                  <c:v>C.carpio</c:v>
                </c:pt>
                <c:pt idx="1">
                  <c:v>S. glanis</c:v>
                </c:pt>
                <c:pt idx="2">
                  <c:v>S. lucioperca</c:v>
                </c:pt>
                <c:pt idx="3">
                  <c:v>Capoeta sp.</c:v>
                </c:pt>
                <c:pt idx="4">
                  <c:v>S.cephalus</c:v>
                </c:pt>
                <c:pt idx="5">
                  <c:v>Barbus sp.</c:v>
                </c:pt>
                <c:pt idx="6">
                  <c:v>P.marmoratus</c:v>
                </c:pt>
              </c:strCache>
            </c:strRef>
          </c:cat>
          <c:val>
            <c:numRef>
              <c:f>[1]Sonuç!$C$35:$C$41</c:f>
              <c:numCache>
                <c:formatCode>General</c:formatCode>
                <c:ptCount val="7"/>
                <c:pt idx="0">
                  <c:v>22.78</c:v>
                </c:pt>
                <c:pt idx="1">
                  <c:v>12.149999999999999</c:v>
                </c:pt>
                <c:pt idx="2">
                  <c:v>7.5299999999999994</c:v>
                </c:pt>
                <c:pt idx="3">
                  <c:v>0.2</c:v>
                </c:pt>
                <c:pt idx="4">
                  <c:v>0.6</c:v>
                </c:pt>
                <c:pt idx="5">
                  <c:v>0</c:v>
                </c:pt>
                <c:pt idx="6">
                  <c:v>0</c:v>
                </c:pt>
              </c:numCache>
            </c:numRef>
          </c:val>
          <c:extLst>
            <c:ext xmlns:c16="http://schemas.microsoft.com/office/drawing/2014/chart" uri="{C3380CC4-5D6E-409C-BE32-E72D297353CC}">
              <c16:uniqueId val="{0000000E-37AD-40BE-80F3-4E7B0D2A13D1}"/>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SARAYDÜZÜ</a:t>
            </a:r>
            <a:r>
              <a:rPr lang="tr-TR" baseline="0"/>
              <a:t> BOYABAT BARAJ GÖLÜ BALIK POPULASYONU</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BBD-490B-9AD7-036EDD70D40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BBD-490B-9AD7-036EDD70D40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BBD-490B-9AD7-036EDD70D40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BBD-490B-9AD7-036EDD70D40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BBD-490B-9AD7-036EDD70D40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BBD-490B-9AD7-036EDD70D40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BBD-490B-9AD7-036EDD70D4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[1]Sonuç!$B$35:$B$41</c:f>
              <c:strCache>
                <c:ptCount val="7"/>
                <c:pt idx="0">
                  <c:v>C.carpio</c:v>
                </c:pt>
                <c:pt idx="1">
                  <c:v>S. glanis</c:v>
                </c:pt>
                <c:pt idx="2">
                  <c:v>S. lucioperca</c:v>
                </c:pt>
                <c:pt idx="3">
                  <c:v>Capoeta sp.</c:v>
                </c:pt>
                <c:pt idx="4">
                  <c:v>S.cephalus</c:v>
                </c:pt>
                <c:pt idx="5">
                  <c:v>Barbus sp.</c:v>
                </c:pt>
                <c:pt idx="6">
                  <c:v>P.marmoratus</c:v>
                </c:pt>
              </c:strCache>
            </c:strRef>
          </c:cat>
          <c:val>
            <c:numRef>
              <c:f>[1]Sonuç!$C$35:$C$41</c:f>
              <c:numCache>
                <c:formatCode>General</c:formatCode>
                <c:ptCount val="7"/>
                <c:pt idx="0">
                  <c:v>22.78</c:v>
                </c:pt>
                <c:pt idx="1">
                  <c:v>12.149999999999999</c:v>
                </c:pt>
                <c:pt idx="2">
                  <c:v>7.5299999999999994</c:v>
                </c:pt>
                <c:pt idx="3">
                  <c:v>0.2</c:v>
                </c:pt>
                <c:pt idx="4">
                  <c:v>0.6</c:v>
                </c:pt>
                <c:pt idx="5">
                  <c:v>0</c:v>
                </c:pt>
                <c:pt idx="6">
                  <c:v>0</c:v>
                </c:pt>
              </c:numCache>
            </c:numRef>
          </c:val>
          <c:extLst>
            <c:ext xmlns:c16="http://schemas.microsoft.com/office/drawing/2014/chart" uri="{C3380CC4-5D6E-409C-BE32-E72D297353CC}">
              <c16:uniqueId val="{0000000E-5BBD-490B-9AD7-036EDD70D401}"/>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20955</xdr:colOff>
      <xdr:row>32</xdr:row>
      <xdr:rowOff>3810</xdr:rowOff>
    </xdr:from>
    <xdr:to>
      <xdr:col>9</xdr:col>
      <xdr:colOff>729615</xdr:colOff>
      <xdr:row>43</xdr:row>
      <xdr:rowOff>156210</xdr:rowOff>
    </xdr:to>
    <xdr:graphicFrame macro="">
      <xdr:nvGraphicFramePr>
        <xdr:cNvPr id="2" name="Grafik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20955</xdr:colOff>
      <xdr:row>32</xdr:row>
      <xdr:rowOff>3810</xdr:rowOff>
    </xdr:from>
    <xdr:to>
      <xdr:col>9</xdr:col>
      <xdr:colOff>729615</xdr:colOff>
      <xdr:row>43</xdr:row>
      <xdr:rowOff>156210</xdr:rowOff>
    </xdr:to>
    <xdr:graphicFrame macro="">
      <xdr:nvGraphicFramePr>
        <xdr:cNvPr id="3" name="Grafik 2">
          <a:extLst>
            <a:ext uri="{FF2B5EF4-FFF2-40B4-BE49-F238E27FC236}">
              <a16:creationId xmlns:a16="http://schemas.microsoft.com/office/drawing/2014/main" id="{04F32A4C-590B-43EB-AA86-1DE4C74B7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20955</xdr:colOff>
      <xdr:row>32</xdr:row>
      <xdr:rowOff>3810</xdr:rowOff>
    </xdr:from>
    <xdr:to>
      <xdr:col>9</xdr:col>
      <xdr:colOff>729615</xdr:colOff>
      <xdr:row>43</xdr:row>
      <xdr:rowOff>156210</xdr:rowOff>
    </xdr:to>
    <xdr:graphicFrame macro="">
      <xdr:nvGraphicFramePr>
        <xdr:cNvPr id="2" name="Grafik 1">
          <a:extLst>
            <a:ext uri="{FF2B5EF4-FFF2-40B4-BE49-F238E27FC236}">
              <a16:creationId xmlns:a16="http://schemas.microsoft.com/office/drawing/2014/main" id="{8C23E1A7-9999-497D-B90D-A7452DDBA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ahad&#305;r/Desktop/1380_SAYILI_YASA_IHLALLERI/Boyabat%20Baraj%20G&#246;l&#252;%20Stok%20&#199;al&#305;&#351;mas&#305;/boyabat%20baraj%20g&#246;l&#252;%20stok%20tespit%20&#231;al&#305;&#351;mas&#30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yfa2"/>
      <sheetName val="Sonuç"/>
      <sheetName val="Sayfa4"/>
    </sheetNames>
    <sheetDataSet>
      <sheetData sheetId="0"/>
      <sheetData sheetId="1">
        <row r="35">
          <cell r="B35" t="str">
            <v>C.carpio</v>
          </cell>
          <cell r="C35">
            <v>22.78</v>
          </cell>
        </row>
        <row r="36">
          <cell r="B36" t="str">
            <v>S. glanis</v>
          </cell>
          <cell r="C36">
            <v>12.149999999999999</v>
          </cell>
        </row>
        <row r="37">
          <cell r="B37" t="str">
            <v>S. lucioperca</v>
          </cell>
          <cell r="C37">
            <v>7.5299999999999994</v>
          </cell>
        </row>
        <row r="38">
          <cell r="B38" t="str">
            <v>Capoeta sp.</v>
          </cell>
          <cell r="C38">
            <v>0.2</v>
          </cell>
        </row>
        <row r="39">
          <cell r="B39" t="str">
            <v>S.cephalus</v>
          </cell>
          <cell r="C39">
            <v>0.6</v>
          </cell>
        </row>
        <row r="40">
          <cell r="B40" t="str">
            <v>Barbus sp.</v>
          </cell>
          <cell r="C40">
            <v>0</v>
          </cell>
        </row>
        <row r="41">
          <cell r="B41" t="str">
            <v>P.marmoratus</v>
          </cell>
          <cell r="C41">
            <v>0</v>
          </cell>
        </row>
      </sheetData>
      <sheetData sheetId="2"/>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5"/>
  <sheetViews>
    <sheetView topLeftCell="A40" zoomScale="85" zoomScaleNormal="85" workbookViewId="0">
      <selection activeCell="J6" sqref="J6:L6"/>
    </sheetView>
  </sheetViews>
  <sheetFormatPr defaultRowHeight="15" x14ac:dyDescent="0.25"/>
  <cols>
    <col min="1" max="1" width="17.28515625" style="22" customWidth="1"/>
    <col min="2" max="2" width="9.42578125" style="22" customWidth="1"/>
    <col min="3" max="3" width="12.7109375" style="22" customWidth="1"/>
    <col min="4" max="4" width="13.28515625" style="22" bestFit="1" customWidth="1"/>
    <col min="5" max="5" width="17.28515625" style="22" customWidth="1"/>
    <col min="6" max="6" width="9.28515625" style="22" customWidth="1"/>
    <col min="7" max="7" width="12.7109375" style="22" customWidth="1"/>
    <col min="8" max="8" width="13.28515625" style="22" customWidth="1"/>
    <col min="9" max="9" width="16.5703125" style="22" customWidth="1"/>
    <col min="10" max="10" width="9.140625" style="22" customWidth="1"/>
    <col min="11" max="11" width="12.7109375" style="22" customWidth="1"/>
    <col min="12" max="12" width="13.140625" style="22" customWidth="1"/>
    <col min="13" max="16384" width="9.140625" style="22"/>
  </cols>
  <sheetData>
    <row r="1" spans="1:12" x14ac:dyDescent="0.25">
      <c r="A1" s="54" t="s">
        <v>65</v>
      </c>
      <c r="B1" s="54"/>
      <c r="C1" s="54"/>
      <c r="D1" s="54"/>
      <c r="E1" s="54"/>
      <c r="F1" s="54"/>
      <c r="G1" s="54"/>
      <c r="H1" s="54"/>
      <c r="I1" s="54"/>
      <c r="J1" s="54"/>
      <c r="K1" s="54"/>
      <c r="L1" s="54"/>
    </row>
    <row r="3" spans="1:12" x14ac:dyDescent="0.25">
      <c r="A3" s="23" t="s">
        <v>59</v>
      </c>
      <c r="B3" s="55" t="s">
        <v>0</v>
      </c>
      <c r="C3" s="55"/>
      <c r="D3" s="55"/>
      <c r="E3" s="24" t="str">
        <f>+A3</f>
        <v>03.12.2021</v>
      </c>
      <c r="F3" s="55" t="s">
        <v>68</v>
      </c>
      <c r="G3" s="55"/>
      <c r="H3" s="55"/>
      <c r="I3" s="24" t="str">
        <f>+A3</f>
        <v>03.12.2021</v>
      </c>
      <c r="J3" s="55" t="s">
        <v>69</v>
      </c>
      <c r="K3" s="55"/>
      <c r="L3" s="55"/>
    </row>
    <row r="4" spans="1:12" x14ac:dyDescent="0.25">
      <c r="A4" s="56" t="s">
        <v>1</v>
      </c>
      <c r="B4" s="25" t="s">
        <v>44</v>
      </c>
      <c r="C4" s="25" t="s">
        <v>43</v>
      </c>
      <c r="D4" s="25" t="s">
        <v>42</v>
      </c>
      <c r="E4" s="56" t="s">
        <v>1</v>
      </c>
      <c r="F4" s="25" t="s">
        <v>44</v>
      </c>
      <c r="G4" s="25" t="s">
        <v>43</v>
      </c>
      <c r="H4" s="25" t="s">
        <v>42</v>
      </c>
      <c r="I4" s="56" t="s">
        <v>1</v>
      </c>
      <c r="J4" s="25" t="s">
        <v>44</v>
      </c>
      <c r="K4" s="25" t="s">
        <v>43</v>
      </c>
      <c r="L4" s="25" t="s">
        <v>42</v>
      </c>
    </row>
    <row r="5" spans="1:12" x14ac:dyDescent="0.25">
      <c r="A5" s="56"/>
      <c r="B5" s="25">
        <v>200</v>
      </c>
      <c r="C5" s="25">
        <v>10</v>
      </c>
      <c r="D5" s="25">
        <v>70</v>
      </c>
      <c r="E5" s="56"/>
      <c r="F5" s="25">
        <v>200</v>
      </c>
      <c r="G5" s="25">
        <v>5</v>
      </c>
      <c r="H5" s="25">
        <v>70</v>
      </c>
      <c r="I5" s="56"/>
      <c r="J5" s="25">
        <v>150</v>
      </c>
      <c r="K5" s="25">
        <v>5</v>
      </c>
      <c r="L5" s="25">
        <v>70</v>
      </c>
    </row>
    <row r="6" spans="1:12" x14ac:dyDescent="0.25">
      <c r="A6" s="26" t="s">
        <v>2</v>
      </c>
      <c r="B6" s="54" t="s">
        <v>62</v>
      </c>
      <c r="C6" s="54"/>
      <c r="D6" s="54"/>
      <c r="E6" s="26" t="s">
        <v>2</v>
      </c>
      <c r="F6" s="54" t="s">
        <v>63</v>
      </c>
      <c r="G6" s="54"/>
      <c r="H6" s="54"/>
      <c r="I6" s="26" t="s">
        <v>2</v>
      </c>
      <c r="J6" s="54" t="s">
        <v>64</v>
      </c>
      <c r="K6" s="54"/>
      <c r="L6" s="54"/>
    </row>
    <row r="7" spans="1:12" x14ac:dyDescent="0.25">
      <c r="A7" s="26" t="s">
        <v>3</v>
      </c>
      <c r="B7" s="54" t="s">
        <v>7</v>
      </c>
      <c r="C7" s="54"/>
      <c r="D7" s="27" t="s">
        <v>8</v>
      </c>
      <c r="E7" s="26" t="s">
        <v>3</v>
      </c>
      <c r="F7" s="54" t="s">
        <v>7</v>
      </c>
      <c r="G7" s="54"/>
      <c r="H7" s="27" t="s">
        <v>8</v>
      </c>
      <c r="I7" s="26" t="s">
        <v>3</v>
      </c>
      <c r="J7" s="54" t="s">
        <v>7</v>
      </c>
      <c r="K7" s="54"/>
      <c r="L7" s="27" t="s">
        <v>8</v>
      </c>
    </row>
    <row r="8" spans="1:12" x14ac:dyDescent="0.25">
      <c r="A8" s="28" t="s">
        <v>76</v>
      </c>
      <c r="B8" s="52">
        <v>0.62</v>
      </c>
      <c r="C8" s="53"/>
      <c r="D8" s="18">
        <v>33</v>
      </c>
      <c r="E8" s="28" t="s">
        <v>76</v>
      </c>
      <c r="F8" s="51">
        <v>0.46</v>
      </c>
      <c r="G8" s="51"/>
      <c r="H8" s="29">
        <v>28</v>
      </c>
      <c r="I8" s="28" t="s">
        <v>76</v>
      </c>
      <c r="J8" s="51">
        <v>0.93</v>
      </c>
      <c r="K8" s="51"/>
      <c r="L8" s="29">
        <v>40</v>
      </c>
    </row>
    <row r="9" spans="1:12" x14ac:dyDescent="0.25">
      <c r="A9" s="28" t="s">
        <v>49</v>
      </c>
      <c r="B9" s="51">
        <v>0.23</v>
      </c>
      <c r="C9" s="51"/>
      <c r="D9" s="29">
        <v>26</v>
      </c>
      <c r="E9" s="28" t="s">
        <v>11</v>
      </c>
      <c r="F9" s="52">
        <v>2.1</v>
      </c>
      <c r="G9" s="52"/>
      <c r="H9" s="18">
        <v>60</v>
      </c>
      <c r="I9" s="28" t="s">
        <v>76</v>
      </c>
      <c r="J9" s="52">
        <v>0.74</v>
      </c>
      <c r="K9" s="53"/>
      <c r="L9" s="18">
        <v>35</v>
      </c>
    </row>
    <row r="10" spans="1:12" x14ac:dyDescent="0.25">
      <c r="A10" s="28" t="s">
        <v>49</v>
      </c>
      <c r="B10" s="51">
        <v>0.21</v>
      </c>
      <c r="C10" s="51"/>
      <c r="D10" s="29">
        <v>24</v>
      </c>
      <c r="E10" s="30" t="s">
        <v>9</v>
      </c>
      <c r="F10" s="52">
        <v>0.95</v>
      </c>
      <c r="G10" s="53"/>
      <c r="H10" s="18">
        <v>38</v>
      </c>
      <c r="I10" s="30" t="s">
        <v>9</v>
      </c>
      <c r="J10" s="52">
        <v>1.28</v>
      </c>
      <c r="K10" s="53"/>
      <c r="L10" s="18">
        <v>46</v>
      </c>
    </row>
    <row r="11" spans="1:12" x14ac:dyDescent="0.25">
      <c r="A11" s="28" t="s">
        <v>9</v>
      </c>
      <c r="B11" s="52">
        <v>1.25</v>
      </c>
      <c r="C11" s="53"/>
      <c r="D11" s="18">
        <v>48</v>
      </c>
      <c r="E11" s="30" t="s">
        <v>9</v>
      </c>
      <c r="F11" s="52">
        <v>1.25</v>
      </c>
      <c r="G11" s="53"/>
      <c r="H11" s="18">
        <v>43</v>
      </c>
      <c r="I11" s="28" t="s">
        <v>76</v>
      </c>
      <c r="J11" s="52">
        <v>0.59</v>
      </c>
      <c r="K11" s="53"/>
      <c r="L11" s="18">
        <v>32</v>
      </c>
    </row>
    <row r="12" spans="1:12" x14ac:dyDescent="0.25">
      <c r="A12" s="28" t="s">
        <v>76</v>
      </c>
      <c r="B12" s="52">
        <v>0.56000000000000005</v>
      </c>
      <c r="C12" s="53"/>
      <c r="D12" s="18">
        <v>30</v>
      </c>
      <c r="E12" s="30" t="s">
        <v>9</v>
      </c>
      <c r="F12" s="52">
        <v>1.28</v>
      </c>
      <c r="G12" s="53"/>
      <c r="H12" s="18">
        <v>45</v>
      </c>
      <c r="I12" s="28" t="s">
        <v>66</v>
      </c>
      <c r="J12" s="52">
        <v>0.56000000000000005</v>
      </c>
      <c r="K12" s="53"/>
      <c r="L12" s="18">
        <v>31</v>
      </c>
    </row>
    <row r="13" spans="1:12" x14ac:dyDescent="0.25">
      <c r="A13" s="30" t="s">
        <v>51</v>
      </c>
      <c r="B13" s="52">
        <v>0.57999999999999996</v>
      </c>
      <c r="C13" s="52"/>
      <c r="D13" s="18">
        <v>29</v>
      </c>
      <c r="E13" s="28" t="s">
        <v>49</v>
      </c>
      <c r="F13" s="51">
        <v>0.26</v>
      </c>
      <c r="G13" s="51"/>
      <c r="H13" s="29">
        <v>31</v>
      </c>
      <c r="I13" s="28" t="s">
        <v>49</v>
      </c>
      <c r="J13" s="52">
        <v>0.21</v>
      </c>
      <c r="K13" s="52"/>
      <c r="L13" s="18">
        <v>24</v>
      </c>
    </row>
    <row r="14" spans="1:12" x14ac:dyDescent="0.25">
      <c r="A14" s="28" t="s">
        <v>49</v>
      </c>
      <c r="B14" s="52">
        <v>0.22</v>
      </c>
      <c r="C14" s="52"/>
      <c r="D14" s="18">
        <v>26</v>
      </c>
      <c r="E14" s="28" t="s">
        <v>49</v>
      </c>
      <c r="F14" s="51">
        <v>0.24</v>
      </c>
      <c r="G14" s="51"/>
      <c r="H14" s="29">
        <v>25</v>
      </c>
      <c r="I14" s="28" t="s">
        <v>49</v>
      </c>
      <c r="J14" s="52">
        <v>0.23</v>
      </c>
      <c r="K14" s="52"/>
      <c r="L14" s="18">
        <v>27</v>
      </c>
    </row>
    <row r="15" spans="1:12" x14ac:dyDescent="0.25">
      <c r="A15" s="28" t="s">
        <v>49</v>
      </c>
      <c r="B15" s="52">
        <v>0.24</v>
      </c>
      <c r="C15" s="52"/>
      <c r="D15" s="18">
        <v>23</v>
      </c>
      <c r="E15" s="28" t="s">
        <v>49</v>
      </c>
      <c r="F15" s="52">
        <v>0.24</v>
      </c>
      <c r="G15" s="52"/>
      <c r="H15" s="18">
        <v>23</v>
      </c>
      <c r="I15" s="28" t="s">
        <v>49</v>
      </c>
      <c r="J15" s="52">
        <v>0.22</v>
      </c>
      <c r="K15" s="52"/>
      <c r="L15" s="18">
        <v>25</v>
      </c>
    </row>
    <row r="16" spans="1:12" x14ac:dyDescent="0.25">
      <c r="A16" s="28" t="s">
        <v>76</v>
      </c>
      <c r="B16" s="52">
        <v>0.61</v>
      </c>
      <c r="C16" s="53"/>
      <c r="D16" s="18">
        <v>32</v>
      </c>
      <c r="E16" s="28" t="s">
        <v>76</v>
      </c>
      <c r="F16" s="52">
        <v>0.62</v>
      </c>
      <c r="G16" s="53"/>
      <c r="H16" s="18">
        <v>33</v>
      </c>
      <c r="I16" s="28" t="s">
        <v>76</v>
      </c>
      <c r="J16" s="52">
        <v>0.6</v>
      </c>
      <c r="K16" s="53"/>
      <c r="L16" s="18">
        <v>31</v>
      </c>
    </row>
    <row r="17" spans="1:16" x14ac:dyDescent="0.25">
      <c r="A17" s="28"/>
      <c r="B17" s="52"/>
      <c r="C17" s="52"/>
      <c r="D17" s="31"/>
      <c r="E17" s="30"/>
      <c r="F17" s="52"/>
      <c r="G17" s="53"/>
      <c r="H17" s="18"/>
      <c r="I17" s="30"/>
      <c r="J17" s="52"/>
      <c r="K17" s="52"/>
      <c r="L17" s="18"/>
    </row>
    <row r="18" spans="1:16" x14ac:dyDescent="0.25">
      <c r="A18" s="26" t="s">
        <v>12</v>
      </c>
      <c r="B18" s="48">
        <f>SUM(B8:C17)</f>
        <v>4.5200000000000005</v>
      </c>
      <c r="C18" s="48"/>
      <c r="D18" s="32"/>
      <c r="E18" s="26" t="s">
        <v>12</v>
      </c>
      <c r="F18" s="48">
        <f>SUM(F8:G17)</f>
        <v>7.4</v>
      </c>
      <c r="G18" s="48"/>
      <c r="H18" s="32"/>
      <c r="I18" s="26" t="s">
        <v>12</v>
      </c>
      <c r="J18" s="48">
        <f>SUM(J8:K17)</f>
        <v>5.3599999999999994</v>
      </c>
      <c r="K18" s="48"/>
      <c r="L18" s="32"/>
    </row>
    <row r="19" spans="1:16" x14ac:dyDescent="0.25">
      <c r="A19" s="50">
        <f>+B18+F18+J18</f>
        <v>17.28</v>
      </c>
      <c r="B19" s="50"/>
      <c r="C19" s="50"/>
      <c r="D19" s="50"/>
      <c r="E19" s="50"/>
      <c r="F19" s="50"/>
      <c r="G19" s="50"/>
      <c r="H19" s="50"/>
      <c r="I19" s="50"/>
      <c r="J19" s="50"/>
      <c r="K19" s="50"/>
      <c r="L19" s="50"/>
    </row>
    <row r="20" spans="1:16" x14ac:dyDescent="0.25">
      <c r="A20" s="33"/>
      <c r="B20" s="34"/>
      <c r="C20" s="34"/>
      <c r="D20" s="34"/>
      <c r="E20" s="34"/>
      <c r="F20" s="34"/>
      <c r="G20" s="34"/>
      <c r="H20" s="34"/>
      <c r="I20" s="34"/>
      <c r="J20" s="34"/>
      <c r="K20" s="34"/>
      <c r="L20" s="34"/>
    </row>
    <row r="21" spans="1:16" x14ac:dyDescent="0.25">
      <c r="A21" s="23" t="s">
        <v>60</v>
      </c>
      <c r="B21" s="55" t="s">
        <v>0</v>
      </c>
      <c r="C21" s="55"/>
      <c r="D21" s="55"/>
      <c r="E21" s="24" t="str">
        <f>+A21</f>
        <v>07.12.2021</v>
      </c>
      <c r="F21" s="55" t="s">
        <v>68</v>
      </c>
      <c r="G21" s="55"/>
      <c r="H21" s="55"/>
      <c r="I21" s="24" t="str">
        <f>+A21</f>
        <v>07.12.2021</v>
      </c>
      <c r="J21" s="55" t="s">
        <v>69</v>
      </c>
      <c r="K21" s="55"/>
      <c r="L21" s="55"/>
    </row>
    <row r="22" spans="1:16" x14ac:dyDescent="0.25">
      <c r="A22" s="56" t="s">
        <v>1</v>
      </c>
      <c r="B22" s="25" t="s">
        <v>44</v>
      </c>
      <c r="C22" s="25" t="s">
        <v>43</v>
      </c>
      <c r="D22" s="25" t="s">
        <v>42</v>
      </c>
      <c r="E22" s="56" t="s">
        <v>1</v>
      </c>
      <c r="F22" s="25" t="s">
        <v>44</v>
      </c>
      <c r="G22" s="25" t="s">
        <v>43</v>
      </c>
      <c r="H22" s="25" t="s">
        <v>42</v>
      </c>
      <c r="I22" s="56" t="s">
        <v>1</v>
      </c>
      <c r="J22" s="25" t="s">
        <v>44</v>
      </c>
      <c r="K22" s="25" t="s">
        <v>43</v>
      </c>
      <c r="L22" s="25" t="s">
        <v>42</v>
      </c>
    </row>
    <row r="23" spans="1:16" x14ac:dyDescent="0.25">
      <c r="A23" s="56"/>
      <c r="B23" s="25">
        <f>+B5</f>
        <v>200</v>
      </c>
      <c r="C23" s="25">
        <f>+C5</f>
        <v>10</v>
      </c>
      <c r="D23" s="25">
        <f>+D5</f>
        <v>70</v>
      </c>
      <c r="E23" s="56"/>
      <c r="F23" s="25">
        <f>+F5</f>
        <v>200</v>
      </c>
      <c r="G23" s="25">
        <f>+G5</f>
        <v>5</v>
      </c>
      <c r="H23" s="25">
        <f>+H5</f>
        <v>70</v>
      </c>
      <c r="I23" s="56"/>
      <c r="J23" s="25">
        <f>+J5</f>
        <v>150</v>
      </c>
      <c r="K23" s="25">
        <f>+K5</f>
        <v>5</v>
      </c>
      <c r="L23" s="25">
        <f>+L5</f>
        <v>70</v>
      </c>
    </row>
    <row r="24" spans="1:16" x14ac:dyDescent="0.25">
      <c r="A24" s="35" t="s">
        <v>2</v>
      </c>
      <c r="B24" s="54" t="str">
        <f>+B6</f>
        <v>41°17'08.9"N   35°11'38.3"E</v>
      </c>
      <c r="C24" s="54"/>
      <c r="D24" s="54"/>
      <c r="E24" s="26" t="s">
        <v>2</v>
      </c>
      <c r="F24" s="54" t="str">
        <f>+F6</f>
        <v>41°16'47.3"N   35°11'32.3"E</v>
      </c>
      <c r="G24" s="54"/>
      <c r="H24" s="54"/>
      <c r="I24" s="26" t="s">
        <v>2</v>
      </c>
      <c r="J24" s="54" t="str">
        <f>+J6</f>
        <v>41°16'27.9"N   35°11'43.1"E</v>
      </c>
      <c r="K24" s="54"/>
      <c r="L24" s="54"/>
    </row>
    <row r="25" spans="1:16" x14ac:dyDescent="0.25">
      <c r="A25" s="26" t="s">
        <v>3</v>
      </c>
      <c r="B25" s="54" t="s">
        <v>7</v>
      </c>
      <c r="C25" s="54"/>
      <c r="D25" s="27" t="s">
        <v>8</v>
      </c>
      <c r="E25" s="26" t="s">
        <v>3</v>
      </c>
      <c r="F25" s="54" t="s">
        <v>7</v>
      </c>
      <c r="G25" s="54"/>
      <c r="H25" s="27" t="s">
        <v>8</v>
      </c>
      <c r="I25" s="26" t="s">
        <v>3</v>
      </c>
      <c r="J25" s="54" t="s">
        <v>7</v>
      </c>
      <c r="K25" s="54"/>
      <c r="L25" s="27" t="s">
        <v>8</v>
      </c>
    </row>
    <row r="26" spans="1:16" x14ac:dyDescent="0.25">
      <c r="A26" s="30" t="s">
        <v>51</v>
      </c>
      <c r="B26" s="52">
        <v>0.63</v>
      </c>
      <c r="C26" s="52"/>
      <c r="D26" s="18">
        <v>31</v>
      </c>
      <c r="E26" s="28" t="s">
        <v>76</v>
      </c>
      <c r="F26" s="51">
        <v>0.43</v>
      </c>
      <c r="G26" s="51"/>
      <c r="H26" s="29">
        <v>30</v>
      </c>
      <c r="I26" s="28" t="s">
        <v>76</v>
      </c>
      <c r="J26" s="51">
        <v>0.46</v>
      </c>
      <c r="K26" s="51"/>
      <c r="L26" s="29">
        <v>30</v>
      </c>
    </row>
    <row r="27" spans="1:16" x14ac:dyDescent="0.25">
      <c r="A27" s="28" t="s">
        <v>9</v>
      </c>
      <c r="B27" s="52">
        <v>1.42</v>
      </c>
      <c r="C27" s="52"/>
      <c r="D27" s="18">
        <v>48</v>
      </c>
      <c r="E27" s="30" t="s">
        <v>9</v>
      </c>
      <c r="F27" s="52">
        <v>1.79</v>
      </c>
      <c r="G27" s="52"/>
      <c r="H27" s="18">
        <v>51</v>
      </c>
      <c r="I27" s="30" t="s">
        <v>9</v>
      </c>
      <c r="J27" s="52">
        <v>1.31</v>
      </c>
      <c r="K27" s="52"/>
      <c r="L27" s="18">
        <v>46</v>
      </c>
    </row>
    <row r="28" spans="1:16" x14ac:dyDescent="0.25">
      <c r="A28" s="28" t="s">
        <v>49</v>
      </c>
      <c r="B28" s="52">
        <v>0.2</v>
      </c>
      <c r="C28" s="52"/>
      <c r="D28" s="18">
        <v>22</v>
      </c>
      <c r="E28" s="30" t="s">
        <v>51</v>
      </c>
      <c r="F28" s="52">
        <v>0.6</v>
      </c>
      <c r="G28" s="52"/>
      <c r="H28" s="18">
        <v>30</v>
      </c>
      <c r="I28" s="28" t="s">
        <v>49</v>
      </c>
      <c r="J28" s="52">
        <v>0.24</v>
      </c>
      <c r="K28" s="52"/>
      <c r="L28" s="18">
        <v>24</v>
      </c>
    </row>
    <row r="29" spans="1:16" x14ac:dyDescent="0.25">
      <c r="A29" s="28" t="s">
        <v>49</v>
      </c>
      <c r="B29" s="52">
        <v>0.22</v>
      </c>
      <c r="C29" s="52"/>
      <c r="D29" s="18">
        <v>23</v>
      </c>
      <c r="E29" s="28" t="s">
        <v>49</v>
      </c>
      <c r="F29" s="52">
        <v>0.24</v>
      </c>
      <c r="G29" s="52"/>
      <c r="H29" s="18">
        <v>23</v>
      </c>
      <c r="I29" s="28" t="s">
        <v>49</v>
      </c>
      <c r="J29" s="52">
        <v>0.23</v>
      </c>
      <c r="K29" s="52"/>
      <c r="L29" s="18">
        <v>23</v>
      </c>
    </row>
    <row r="30" spans="1:16" x14ac:dyDescent="0.25">
      <c r="A30" s="28" t="s">
        <v>76</v>
      </c>
      <c r="B30" s="52">
        <v>0.27</v>
      </c>
      <c r="C30" s="53"/>
      <c r="D30" s="18">
        <v>26</v>
      </c>
      <c r="E30" s="28" t="s">
        <v>49</v>
      </c>
      <c r="F30" s="52">
        <v>0.21</v>
      </c>
      <c r="G30" s="52"/>
      <c r="H30" s="18">
        <v>21</v>
      </c>
      <c r="I30" s="28" t="s">
        <v>66</v>
      </c>
      <c r="J30" s="52">
        <v>0.53</v>
      </c>
      <c r="K30" s="53"/>
      <c r="L30" s="18">
        <v>29</v>
      </c>
    </row>
    <row r="31" spans="1:16" x14ac:dyDescent="0.25">
      <c r="A31" s="28" t="s">
        <v>49</v>
      </c>
      <c r="B31" s="52">
        <v>0.24</v>
      </c>
      <c r="C31" s="52"/>
      <c r="D31" s="18">
        <v>23</v>
      </c>
      <c r="E31" s="28" t="s">
        <v>49</v>
      </c>
      <c r="F31" s="52">
        <v>0.24</v>
      </c>
      <c r="G31" s="52"/>
      <c r="H31" s="18">
        <v>23</v>
      </c>
      <c r="I31" s="28" t="s">
        <v>11</v>
      </c>
      <c r="J31" s="52">
        <v>2.0499999999999998</v>
      </c>
      <c r="K31" s="52"/>
      <c r="L31" s="18">
        <v>58</v>
      </c>
      <c r="P31" s="36"/>
    </row>
    <row r="32" spans="1:16" x14ac:dyDescent="0.25">
      <c r="A32" s="28" t="s">
        <v>49</v>
      </c>
      <c r="B32" s="52">
        <v>0.24</v>
      </c>
      <c r="C32" s="52"/>
      <c r="D32" s="18">
        <v>23</v>
      </c>
      <c r="E32" s="28" t="s">
        <v>49</v>
      </c>
      <c r="F32" s="52">
        <v>0.24</v>
      </c>
      <c r="G32" s="52"/>
      <c r="H32" s="18">
        <v>23</v>
      </c>
      <c r="I32" s="28" t="s">
        <v>49</v>
      </c>
      <c r="J32" s="52">
        <v>0.24</v>
      </c>
      <c r="K32" s="52"/>
      <c r="L32" s="18">
        <v>23</v>
      </c>
      <c r="P32" s="37"/>
    </row>
    <row r="33" spans="1:16" x14ac:dyDescent="0.25">
      <c r="A33" s="28" t="s">
        <v>9</v>
      </c>
      <c r="B33" s="52">
        <v>1.3660000000000001</v>
      </c>
      <c r="C33" s="52"/>
      <c r="D33" s="18">
        <v>45</v>
      </c>
      <c r="E33" s="28" t="s">
        <v>76</v>
      </c>
      <c r="F33" s="52">
        <v>0.6</v>
      </c>
      <c r="G33" s="53"/>
      <c r="H33" s="18">
        <v>31</v>
      </c>
      <c r="I33" s="28" t="s">
        <v>76</v>
      </c>
      <c r="J33" s="52">
        <v>0.61</v>
      </c>
      <c r="K33" s="53"/>
      <c r="L33" s="18">
        <v>32</v>
      </c>
      <c r="P33" s="37"/>
    </row>
    <row r="34" spans="1:16" x14ac:dyDescent="0.25">
      <c r="A34" s="28"/>
      <c r="B34" s="52"/>
      <c r="C34" s="52"/>
      <c r="D34" s="18"/>
      <c r="E34" s="30" t="s">
        <v>9</v>
      </c>
      <c r="F34" s="52">
        <v>0.95</v>
      </c>
      <c r="G34" s="53"/>
      <c r="H34" s="18">
        <v>38</v>
      </c>
      <c r="I34" s="28" t="s">
        <v>9</v>
      </c>
      <c r="J34" s="52">
        <v>1.42</v>
      </c>
      <c r="K34" s="52"/>
      <c r="L34" s="18">
        <v>48</v>
      </c>
    </row>
    <row r="35" spans="1:16" x14ac:dyDescent="0.25">
      <c r="A35" s="28"/>
      <c r="B35" s="51"/>
      <c r="C35" s="51"/>
      <c r="D35" s="38"/>
      <c r="E35" s="30"/>
      <c r="F35" s="52"/>
      <c r="G35" s="53"/>
      <c r="H35" s="18"/>
      <c r="I35" s="30"/>
      <c r="J35" s="52"/>
      <c r="K35" s="53"/>
      <c r="L35" s="18"/>
    </row>
    <row r="36" spans="1:16" x14ac:dyDescent="0.25">
      <c r="A36" s="26" t="s">
        <v>12</v>
      </c>
      <c r="B36" s="47">
        <f>+SUM(B26:B35)</f>
        <v>4.5860000000000003</v>
      </c>
      <c r="C36" s="47"/>
      <c r="D36" s="39"/>
      <c r="E36" s="26" t="s">
        <v>12</v>
      </c>
      <c r="F36" s="48">
        <f>SUM(F26:G35)</f>
        <v>5.3000000000000007</v>
      </c>
      <c r="G36" s="49"/>
      <c r="H36" s="32"/>
      <c r="I36" s="26" t="s">
        <v>12</v>
      </c>
      <c r="J36" s="48">
        <f>SUM(J26:K35)</f>
        <v>7.09</v>
      </c>
      <c r="K36" s="49"/>
      <c r="L36" s="32"/>
    </row>
    <row r="37" spans="1:16" x14ac:dyDescent="0.25">
      <c r="A37" s="50">
        <f>+B36+F36+J36</f>
        <v>16.975999999999999</v>
      </c>
      <c r="B37" s="50"/>
      <c r="C37" s="50"/>
      <c r="D37" s="50"/>
      <c r="E37" s="50"/>
      <c r="F37" s="50"/>
      <c r="G37" s="50"/>
      <c r="H37" s="50"/>
      <c r="I37" s="50"/>
      <c r="J37" s="50"/>
      <c r="K37" s="50"/>
      <c r="L37" s="50"/>
    </row>
    <row r="38" spans="1:16" x14ac:dyDescent="0.25">
      <c r="A38" s="28"/>
      <c r="B38" s="40"/>
      <c r="C38" s="38"/>
      <c r="D38" s="38"/>
      <c r="E38" s="41"/>
      <c r="F38" s="40"/>
      <c r="G38" s="38"/>
      <c r="H38" s="28"/>
      <c r="I38" s="40"/>
      <c r="J38" s="38"/>
      <c r="K38" s="38"/>
      <c r="L38" s="38"/>
    </row>
    <row r="39" spans="1:16" x14ac:dyDescent="0.25">
      <c r="A39" s="23" t="s">
        <v>61</v>
      </c>
      <c r="B39" s="55" t="s">
        <v>0</v>
      </c>
      <c r="C39" s="55"/>
      <c r="D39" s="55"/>
      <c r="E39" s="24" t="str">
        <f>+A39</f>
        <v>08.12.2021</v>
      </c>
      <c r="F39" s="55" t="s">
        <v>68</v>
      </c>
      <c r="G39" s="55"/>
      <c r="H39" s="55"/>
      <c r="I39" s="24" t="str">
        <f>+A39</f>
        <v>08.12.2021</v>
      </c>
      <c r="J39" s="55" t="s">
        <v>69</v>
      </c>
      <c r="K39" s="55"/>
      <c r="L39" s="55"/>
    </row>
    <row r="40" spans="1:16" x14ac:dyDescent="0.25">
      <c r="A40" s="56" t="s">
        <v>1</v>
      </c>
      <c r="B40" s="25" t="s">
        <v>44</v>
      </c>
      <c r="C40" s="25" t="s">
        <v>43</v>
      </c>
      <c r="D40" s="25" t="s">
        <v>42</v>
      </c>
      <c r="E40" s="56" t="s">
        <v>1</v>
      </c>
      <c r="F40" s="25" t="s">
        <v>44</v>
      </c>
      <c r="G40" s="25" t="s">
        <v>43</v>
      </c>
      <c r="H40" s="25" t="s">
        <v>42</v>
      </c>
      <c r="I40" s="56" t="s">
        <v>1</v>
      </c>
      <c r="J40" s="25" t="s">
        <v>44</v>
      </c>
      <c r="K40" s="25" t="s">
        <v>43</v>
      </c>
      <c r="L40" s="25" t="s">
        <v>42</v>
      </c>
    </row>
    <row r="41" spans="1:16" x14ac:dyDescent="0.25">
      <c r="A41" s="56"/>
      <c r="B41" s="25">
        <f>+B23</f>
        <v>200</v>
      </c>
      <c r="C41" s="25">
        <f>+C23</f>
        <v>10</v>
      </c>
      <c r="D41" s="25">
        <f>+D23</f>
        <v>70</v>
      </c>
      <c r="E41" s="56"/>
      <c r="F41" s="25">
        <f>+F23</f>
        <v>200</v>
      </c>
      <c r="G41" s="25">
        <f>+G23</f>
        <v>5</v>
      </c>
      <c r="H41" s="25">
        <f>+H23</f>
        <v>70</v>
      </c>
      <c r="I41" s="56"/>
      <c r="J41" s="25">
        <f>+J23</f>
        <v>150</v>
      </c>
      <c r="K41" s="25">
        <f>+K23</f>
        <v>5</v>
      </c>
      <c r="L41" s="25">
        <f>+L23</f>
        <v>70</v>
      </c>
    </row>
    <row r="42" spans="1:16" x14ac:dyDescent="0.25">
      <c r="A42" s="35" t="s">
        <v>2</v>
      </c>
      <c r="B42" s="54" t="str">
        <f>+B24</f>
        <v>41°17'08.9"N   35°11'38.3"E</v>
      </c>
      <c r="C42" s="54"/>
      <c r="D42" s="54"/>
      <c r="E42" s="26" t="s">
        <v>2</v>
      </c>
      <c r="F42" s="54" t="str">
        <f>+F24</f>
        <v>41°16'47.3"N   35°11'32.3"E</v>
      </c>
      <c r="G42" s="54"/>
      <c r="H42" s="54"/>
      <c r="I42" s="26" t="s">
        <v>2</v>
      </c>
      <c r="J42" s="54" t="str">
        <f>+J24</f>
        <v>41°16'27.9"N   35°11'43.1"E</v>
      </c>
      <c r="K42" s="54"/>
      <c r="L42" s="54"/>
    </row>
    <row r="43" spans="1:16" x14ac:dyDescent="0.25">
      <c r="A43" s="26" t="s">
        <v>3</v>
      </c>
      <c r="B43" s="54" t="s">
        <v>7</v>
      </c>
      <c r="C43" s="54"/>
      <c r="D43" s="27" t="s">
        <v>8</v>
      </c>
      <c r="E43" s="26" t="s">
        <v>3</v>
      </c>
      <c r="F43" s="54" t="s">
        <v>7</v>
      </c>
      <c r="G43" s="54"/>
      <c r="H43" s="27" t="s">
        <v>8</v>
      </c>
      <c r="I43" s="26" t="s">
        <v>3</v>
      </c>
      <c r="J43" s="54" t="s">
        <v>7</v>
      </c>
      <c r="K43" s="54"/>
      <c r="L43" s="27" t="s">
        <v>8</v>
      </c>
    </row>
    <row r="44" spans="1:16" x14ac:dyDescent="0.25">
      <c r="A44" s="28" t="s">
        <v>76</v>
      </c>
      <c r="B44" s="52">
        <v>0.62</v>
      </c>
      <c r="C44" s="53"/>
      <c r="D44" s="18">
        <v>33</v>
      </c>
      <c r="E44" s="28" t="s">
        <v>76</v>
      </c>
      <c r="F44" s="51">
        <v>0.74</v>
      </c>
      <c r="G44" s="51"/>
      <c r="H44" s="29">
        <v>35</v>
      </c>
      <c r="I44" s="30" t="s">
        <v>9</v>
      </c>
      <c r="J44" s="52">
        <v>1.25</v>
      </c>
      <c r="K44" s="53"/>
      <c r="L44" s="18">
        <v>43</v>
      </c>
    </row>
    <row r="45" spans="1:16" x14ac:dyDescent="0.25">
      <c r="A45" s="28" t="s">
        <v>9</v>
      </c>
      <c r="B45" s="51">
        <v>1.31</v>
      </c>
      <c r="C45" s="51"/>
      <c r="D45" s="29">
        <v>47</v>
      </c>
      <c r="E45" s="30" t="s">
        <v>9</v>
      </c>
      <c r="F45" s="52">
        <v>1.31</v>
      </c>
      <c r="G45" s="52"/>
      <c r="H45" s="18">
        <v>47</v>
      </c>
      <c r="I45" s="28" t="s">
        <v>49</v>
      </c>
      <c r="J45" s="52">
        <v>0.23</v>
      </c>
      <c r="K45" s="52"/>
      <c r="L45" s="18">
        <v>22</v>
      </c>
    </row>
    <row r="46" spans="1:16" x14ac:dyDescent="0.25">
      <c r="A46" s="28" t="s">
        <v>10</v>
      </c>
      <c r="B46" s="51">
        <v>1.85</v>
      </c>
      <c r="C46" s="51"/>
      <c r="D46" s="29">
        <v>67</v>
      </c>
      <c r="E46" s="28" t="s">
        <v>49</v>
      </c>
      <c r="F46" s="52">
        <v>0.22</v>
      </c>
      <c r="G46" s="52"/>
      <c r="H46" s="18">
        <v>22</v>
      </c>
      <c r="I46" s="28" t="s">
        <v>49</v>
      </c>
      <c r="J46" s="52">
        <v>0.24</v>
      </c>
      <c r="K46" s="52"/>
      <c r="L46" s="18">
        <v>24</v>
      </c>
    </row>
    <row r="47" spans="1:16" x14ac:dyDescent="0.25">
      <c r="A47" s="28" t="s">
        <v>49</v>
      </c>
      <c r="B47" s="52">
        <v>0.24</v>
      </c>
      <c r="C47" s="52"/>
      <c r="D47" s="18">
        <v>25</v>
      </c>
      <c r="E47" s="28" t="s">
        <v>49</v>
      </c>
      <c r="F47" s="52">
        <v>0.24</v>
      </c>
      <c r="G47" s="52"/>
      <c r="H47" s="18">
        <v>24</v>
      </c>
      <c r="I47" s="30" t="s">
        <v>51</v>
      </c>
      <c r="J47" s="52">
        <v>0.72</v>
      </c>
      <c r="K47" s="52"/>
      <c r="L47" s="18">
        <v>34</v>
      </c>
    </row>
    <row r="48" spans="1:16" x14ac:dyDescent="0.25">
      <c r="A48" s="28" t="s">
        <v>49</v>
      </c>
      <c r="B48" s="52">
        <v>0.23</v>
      </c>
      <c r="C48" s="52"/>
      <c r="D48" s="18">
        <v>24</v>
      </c>
      <c r="E48" s="28" t="s">
        <v>66</v>
      </c>
      <c r="F48" s="52">
        <v>0.49</v>
      </c>
      <c r="G48" s="53"/>
      <c r="H48" s="18">
        <v>25</v>
      </c>
      <c r="I48" s="30"/>
      <c r="J48" s="52"/>
      <c r="K48" s="53"/>
      <c r="L48" s="18"/>
    </row>
    <row r="49" spans="1:12" x14ac:dyDescent="0.25">
      <c r="A49" s="30" t="s">
        <v>51</v>
      </c>
      <c r="B49" s="52">
        <v>0.66</v>
      </c>
      <c r="C49" s="52"/>
      <c r="D49" s="18">
        <v>32</v>
      </c>
      <c r="E49" s="30"/>
      <c r="F49" s="52"/>
      <c r="G49" s="53"/>
      <c r="H49" s="18"/>
      <c r="I49" s="30"/>
      <c r="J49" s="52"/>
      <c r="K49" s="53"/>
      <c r="L49" s="18"/>
    </row>
    <row r="50" spans="1:12" x14ac:dyDescent="0.25">
      <c r="A50" s="28"/>
      <c r="B50" s="51"/>
      <c r="C50" s="51"/>
      <c r="D50" s="29"/>
      <c r="E50" s="30"/>
      <c r="F50" s="52"/>
      <c r="G50" s="53"/>
      <c r="H50" s="18"/>
      <c r="I50" s="30"/>
      <c r="J50" s="52"/>
      <c r="K50" s="53"/>
      <c r="L50" s="18"/>
    </row>
    <row r="51" spans="1:12" x14ac:dyDescent="0.25">
      <c r="A51" s="28"/>
      <c r="B51" s="51"/>
      <c r="C51" s="51"/>
      <c r="D51" s="29"/>
      <c r="E51" s="30"/>
      <c r="F51" s="52"/>
      <c r="G51" s="53"/>
      <c r="H51" s="18"/>
      <c r="I51" s="30"/>
      <c r="J51" s="52"/>
      <c r="K51" s="53"/>
      <c r="L51" s="18"/>
    </row>
    <row r="52" spans="1:12" x14ac:dyDescent="0.25">
      <c r="A52" s="28"/>
      <c r="B52" s="51"/>
      <c r="C52" s="51"/>
      <c r="D52" s="29"/>
      <c r="E52" s="30"/>
      <c r="F52" s="52"/>
      <c r="G52" s="53"/>
      <c r="H52" s="18"/>
      <c r="I52" s="30"/>
      <c r="J52" s="52"/>
      <c r="K52" s="53"/>
      <c r="L52" s="18"/>
    </row>
    <row r="53" spans="1:12" x14ac:dyDescent="0.25">
      <c r="A53" s="28"/>
      <c r="B53" s="51"/>
      <c r="C53" s="51"/>
      <c r="D53" s="29"/>
      <c r="E53" s="30"/>
      <c r="F53" s="52"/>
      <c r="G53" s="53"/>
      <c r="H53" s="18"/>
      <c r="I53" s="30"/>
      <c r="J53" s="52"/>
      <c r="K53" s="53"/>
      <c r="L53" s="18"/>
    </row>
    <row r="54" spans="1:12" x14ac:dyDescent="0.25">
      <c r="A54" s="26" t="s">
        <v>12</v>
      </c>
      <c r="B54" s="47">
        <f>+SUM(B44:B53)</f>
        <v>4.910000000000001</v>
      </c>
      <c r="C54" s="47"/>
      <c r="D54" s="39"/>
      <c r="E54" s="26" t="s">
        <v>12</v>
      </c>
      <c r="F54" s="48">
        <f>SUM(F44:G53)</f>
        <v>3</v>
      </c>
      <c r="G54" s="49"/>
      <c r="H54" s="32"/>
      <c r="I54" s="26" t="s">
        <v>12</v>
      </c>
      <c r="J54" s="48">
        <f>SUM(J44:K53)</f>
        <v>2.44</v>
      </c>
      <c r="K54" s="49"/>
      <c r="L54" s="32"/>
    </row>
    <row r="55" spans="1:12" x14ac:dyDescent="0.25">
      <c r="A55" s="50">
        <f>+B54+F54+J54</f>
        <v>10.350000000000001</v>
      </c>
      <c r="B55" s="50"/>
      <c r="C55" s="50"/>
      <c r="D55" s="50"/>
      <c r="E55" s="50"/>
      <c r="F55" s="50"/>
      <c r="G55" s="50"/>
      <c r="H55" s="50"/>
      <c r="I55" s="50"/>
      <c r="J55" s="50"/>
      <c r="K55" s="50"/>
      <c r="L55" s="50"/>
    </row>
    <row r="56" spans="1:12" x14ac:dyDescent="0.25">
      <c r="A56" s="28"/>
      <c r="B56" s="40"/>
      <c r="C56" s="38"/>
      <c r="D56" s="38"/>
      <c r="E56" s="41"/>
      <c r="F56" s="40"/>
      <c r="G56" s="38"/>
      <c r="H56" s="28"/>
      <c r="I56" s="40"/>
      <c r="J56" s="38"/>
      <c r="K56" s="38"/>
      <c r="L56" s="38"/>
    </row>
    <row r="57" spans="1:12" x14ac:dyDescent="0.25">
      <c r="A57" s="22" t="s">
        <v>4</v>
      </c>
      <c r="H57" s="28"/>
    </row>
    <row r="58" spans="1:12" x14ac:dyDescent="0.25">
      <c r="A58" s="22" t="s">
        <v>5</v>
      </c>
      <c r="H58" s="28"/>
    </row>
    <row r="59" spans="1:12" x14ac:dyDescent="0.25">
      <c r="A59" s="22" t="s">
        <v>67</v>
      </c>
      <c r="H59" s="28"/>
    </row>
    <row r="60" spans="1:12" x14ac:dyDescent="0.25">
      <c r="A60" s="22" t="s">
        <v>6</v>
      </c>
      <c r="H60" s="28"/>
    </row>
    <row r="61" spans="1:12" x14ac:dyDescent="0.25">
      <c r="H61" s="28"/>
    </row>
    <row r="62" spans="1:12" x14ac:dyDescent="0.25">
      <c r="H62" s="28"/>
    </row>
    <row r="63" spans="1:12" x14ac:dyDescent="0.25">
      <c r="H63" s="28"/>
    </row>
    <row r="64" spans="1:12" x14ac:dyDescent="0.25">
      <c r="H64" s="28"/>
    </row>
    <row r="65" spans="8:8" x14ac:dyDescent="0.25">
      <c r="H65" s="28"/>
    </row>
  </sheetData>
  <mergeCells count="139">
    <mergeCell ref="A4:A5"/>
    <mergeCell ref="B6:D6"/>
    <mergeCell ref="E4:E5"/>
    <mergeCell ref="F6:H6"/>
    <mergeCell ref="A22:A23"/>
    <mergeCell ref="B7:C7"/>
    <mergeCell ref="B8:C8"/>
    <mergeCell ref="B9:C9"/>
    <mergeCell ref="B10:C10"/>
    <mergeCell ref="B21:D21"/>
    <mergeCell ref="B11:C11"/>
    <mergeCell ref="B12:C12"/>
    <mergeCell ref="B13:C13"/>
    <mergeCell ref="B14:C14"/>
    <mergeCell ref="B15:C15"/>
    <mergeCell ref="B27:C27"/>
    <mergeCell ref="B28:C28"/>
    <mergeCell ref="B29:C29"/>
    <mergeCell ref="B30:C30"/>
    <mergeCell ref="B31:C31"/>
    <mergeCell ref="B32:C32"/>
    <mergeCell ref="B33:C33"/>
    <mergeCell ref="B34:C34"/>
    <mergeCell ref="B35:C35"/>
    <mergeCell ref="B24:D24"/>
    <mergeCell ref="B25:C25"/>
    <mergeCell ref="B26:C26"/>
    <mergeCell ref="F7:G7"/>
    <mergeCell ref="F8:G8"/>
    <mergeCell ref="F9:G9"/>
    <mergeCell ref="F10:G10"/>
    <mergeCell ref="F11:G11"/>
    <mergeCell ref="B16:C16"/>
    <mergeCell ref="B17:C17"/>
    <mergeCell ref="B18:C18"/>
    <mergeCell ref="E22:E23"/>
    <mergeCell ref="J13:K13"/>
    <mergeCell ref="J14:K14"/>
    <mergeCell ref="J15:K15"/>
    <mergeCell ref="J16:K16"/>
    <mergeCell ref="F12:G12"/>
    <mergeCell ref="F13:G13"/>
    <mergeCell ref="F14:G14"/>
    <mergeCell ref="F15:G15"/>
    <mergeCell ref="F16:G16"/>
    <mergeCell ref="I22:I23"/>
    <mergeCell ref="F24:H24"/>
    <mergeCell ref="J24:L24"/>
    <mergeCell ref="F25:G25"/>
    <mergeCell ref="J25:K25"/>
    <mergeCell ref="J17:K17"/>
    <mergeCell ref="J18:K18"/>
    <mergeCell ref="A1:L1"/>
    <mergeCell ref="A19:L19"/>
    <mergeCell ref="F21:H21"/>
    <mergeCell ref="J21:L21"/>
    <mergeCell ref="F17:G17"/>
    <mergeCell ref="F18:G18"/>
    <mergeCell ref="F3:H3"/>
    <mergeCell ref="J3:L3"/>
    <mergeCell ref="I4:I5"/>
    <mergeCell ref="J6:L6"/>
    <mergeCell ref="J7:K7"/>
    <mergeCell ref="J8:K8"/>
    <mergeCell ref="J9:K9"/>
    <mergeCell ref="J10:K10"/>
    <mergeCell ref="J11:K11"/>
    <mergeCell ref="J12:K12"/>
    <mergeCell ref="B3:D3"/>
    <mergeCell ref="F29:G29"/>
    <mergeCell ref="J29:K29"/>
    <mergeCell ref="F30:G30"/>
    <mergeCell ref="J30:K30"/>
    <mergeCell ref="F31:G31"/>
    <mergeCell ref="J31:K31"/>
    <mergeCell ref="J26:K26"/>
    <mergeCell ref="F27:G27"/>
    <mergeCell ref="J27:K27"/>
    <mergeCell ref="F28:G28"/>
    <mergeCell ref="J28:K28"/>
    <mergeCell ref="F26:G26"/>
    <mergeCell ref="A40:A41"/>
    <mergeCell ref="E40:E41"/>
    <mergeCell ref="I40:I41"/>
    <mergeCell ref="F35:G35"/>
    <mergeCell ref="J35:K35"/>
    <mergeCell ref="F36:G36"/>
    <mergeCell ref="J36:K36"/>
    <mergeCell ref="A37:L37"/>
    <mergeCell ref="F32:G32"/>
    <mergeCell ref="J32:K32"/>
    <mergeCell ref="F33:G33"/>
    <mergeCell ref="J33:K33"/>
    <mergeCell ref="F34:G34"/>
    <mergeCell ref="J34:K34"/>
    <mergeCell ref="B36:C36"/>
    <mergeCell ref="B42:D42"/>
    <mergeCell ref="F42:H42"/>
    <mergeCell ref="J42:L42"/>
    <mergeCell ref="B43:C43"/>
    <mergeCell ref="F43:G43"/>
    <mergeCell ref="J43:K43"/>
    <mergeCell ref="B39:D39"/>
    <mergeCell ref="F39:H39"/>
    <mergeCell ref="J39:L39"/>
    <mergeCell ref="B46:C46"/>
    <mergeCell ref="F46:G46"/>
    <mergeCell ref="J46:K46"/>
    <mergeCell ref="B47:C47"/>
    <mergeCell ref="F47:G47"/>
    <mergeCell ref="J47:K47"/>
    <mergeCell ref="B44:C44"/>
    <mergeCell ref="F44:G44"/>
    <mergeCell ref="J44:K44"/>
    <mergeCell ref="B45:C45"/>
    <mergeCell ref="F45:G45"/>
    <mergeCell ref="J45:K45"/>
    <mergeCell ref="B50:C50"/>
    <mergeCell ref="F50:G50"/>
    <mergeCell ref="J50:K50"/>
    <mergeCell ref="B51:C51"/>
    <mergeCell ref="F51:G51"/>
    <mergeCell ref="J51:K51"/>
    <mergeCell ref="B48:C48"/>
    <mergeCell ref="F48:G48"/>
    <mergeCell ref="J48:K48"/>
    <mergeCell ref="B49:C49"/>
    <mergeCell ref="F49:G49"/>
    <mergeCell ref="J49:K49"/>
    <mergeCell ref="B54:C54"/>
    <mergeCell ref="F54:G54"/>
    <mergeCell ref="J54:K54"/>
    <mergeCell ref="A55:L55"/>
    <mergeCell ref="B52:C52"/>
    <mergeCell ref="F52:G52"/>
    <mergeCell ref="J52:K52"/>
    <mergeCell ref="B53:C53"/>
    <mergeCell ref="F53:G53"/>
    <mergeCell ref="J53:K53"/>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66"/>
  <sheetViews>
    <sheetView tabSelected="1" zoomScaleNormal="100" workbookViewId="0">
      <selection activeCell="F15" sqref="F15"/>
    </sheetView>
  </sheetViews>
  <sheetFormatPr defaultColWidth="9.140625" defaultRowHeight="15" x14ac:dyDescent="0.25"/>
  <cols>
    <col min="1" max="1" width="10" style="45" customWidth="1"/>
    <col min="2" max="2" width="15" style="45" customWidth="1"/>
    <col min="3" max="3" width="13.7109375" style="45" customWidth="1"/>
    <col min="4" max="4" width="12.140625" style="45" customWidth="1"/>
    <col min="5" max="5" width="11.85546875" style="45" customWidth="1"/>
    <col min="6" max="6" width="10.140625" style="45" bestFit="1" customWidth="1"/>
    <col min="7" max="9" width="11.85546875" style="45" customWidth="1"/>
    <col min="10" max="12" width="12.85546875" style="45" customWidth="1"/>
    <col min="13" max="14" width="9.28515625" style="45" bestFit="1" customWidth="1"/>
    <col min="15" max="15" width="14.28515625" style="45" customWidth="1"/>
    <col min="16" max="20" width="14" style="45" bestFit="1" customWidth="1"/>
    <col min="21" max="21" width="16.7109375" style="45" customWidth="1"/>
    <col min="22" max="16384" width="9.140625" style="45"/>
  </cols>
  <sheetData>
    <row r="1" spans="1:20" x14ac:dyDescent="0.25">
      <c r="B1" s="58" t="s">
        <v>31</v>
      </c>
      <c r="C1" s="58"/>
      <c r="D1" s="58"/>
      <c r="E1" s="58" t="s">
        <v>75</v>
      </c>
      <c r="F1" s="58"/>
      <c r="G1" s="58"/>
      <c r="H1" s="8">
        <v>23</v>
      </c>
      <c r="I1" s="60">
        <f>+C2+C3+C4</f>
        <v>23000000</v>
      </c>
      <c r="J1" s="60"/>
    </row>
    <row r="2" spans="1:20" x14ac:dyDescent="0.25">
      <c r="A2" s="45" t="s">
        <v>32</v>
      </c>
      <c r="B2" s="8">
        <f>+$H$1/3</f>
        <v>7.666666666666667</v>
      </c>
      <c r="C2" s="60">
        <f>+B2*1000000</f>
        <v>7666666.666666667</v>
      </c>
      <c r="D2" s="60"/>
      <c r="E2" s="58" t="s">
        <v>13</v>
      </c>
      <c r="F2" s="58"/>
      <c r="G2" s="58"/>
      <c r="H2" s="57">
        <v>200</v>
      </c>
      <c r="I2" s="57"/>
    </row>
    <row r="3" spans="1:20" ht="15" customHeight="1" x14ac:dyDescent="0.25">
      <c r="A3" s="45" t="s">
        <v>34</v>
      </c>
      <c r="B3" s="8">
        <f t="shared" ref="B3:B4" si="0">+$H$1/3</f>
        <v>7.666666666666667</v>
      </c>
      <c r="C3" s="60">
        <f t="shared" ref="C3:C4" si="1">+B3*1000000</f>
        <v>7666666.666666667</v>
      </c>
      <c r="D3" s="60"/>
      <c r="E3" s="58" t="s">
        <v>14</v>
      </c>
      <c r="F3" s="58"/>
      <c r="G3" s="58"/>
      <c r="H3" s="57" t="str">
        <f>+CONCATENATE(B35,",",B36,",",B37,",",B38,",",B39,",",B40," ,",B41," ","vs.")</f>
        <v>C.carpio,S. glanis,S. lucioperca,Capoeta sp.,S.cephalus,Barbus sp. ,P.marmoratus vs.</v>
      </c>
      <c r="I3" s="57"/>
      <c r="J3" s="57"/>
      <c r="K3" s="57"/>
      <c r="L3" s="57"/>
      <c r="P3" s="5"/>
      <c r="Q3" s="5"/>
      <c r="R3" s="5"/>
      <c r="S3" s="5"/>
      <c r="T3" s="5"/>
    </row>
    <row r="4" spans="1:20" x14ac:dyDescent="0.25">
      <c r="A4" s="45" t="s">
        <v>36</v>
      </c>
      <c r="B4" s="8">
        <f t="shared" si="0"/>
        <v>7.666666666666667</v>
      </c>
      <c r="C4" s="60">
        <f t="shared" si="1"/>
        <v>7666666.666666667</v>
      </c>
      <c r="D4" s="60"/>
      <c r="H4" s="57"/>
      <c r="I4" s="57"/>
      <c r="J4" s="57"/>
      <c r="K4" s="57"/>
      <c r="L4" s="57"/>
    </row>
    <row r="5" spans="1:20" ht="30" customHeight="1" x14ac:dyDescent="0.25"/>
    <row r="6" spans="1:20" ht="29.25" customHeight="1" x14ac:dyDescent="0.25">
      <c r="A6" s="45" t="s">
        <v>18</v>
      </c>
      <c r="B6" s="45" t="s">
        <v>19</v>
      </c>
      <c r="C6" s="45" t="s">
        <v>20</v>
      </c>
      <c r="D6" s="45" t="s">
        <v>21</v>
      </c>
      <c r="E6" s="45" t="s">
        <v>22</v>
      </c>
      <c r="F6" s="45" t="s">
        <v>23</v>
      </c>
      <c r="G6" s="45" t="s">
        <v>24</v>
      </c>
    </row>
    <row r="7" spans="1:20" x14ac:dyDescent="0.25">
      <c r="A7" s="45">
        <v>1</v>
      </c>
      <c r="B7" s="45">
        <f>+Sayfa2!D5</f>
        <v>70</v>
      </c>
      <c r="C7" s="45">
        <f>+Sayfa2!B5</f>
        <v>200</v>
      </c>
      <c r="E7" s="45">
        <f>+Sayfa2!C5</f>
        <v>10</v>
      </c>
      <c r="F7" s="45">
        <f>C7*E7</f>
        <v>2000</v>
      </c>
      <c r="G7" s="58">
        <f>SUM(F7:F9)</f>
        <v>3750</v>
      </c>
    </row>
    <row r="8" spans="1:20" x14ac:dyDescent="0.25">
      <c r="A8" s="45">
        <v>2</v>
      </c>
      <c r="B8" s="45">
        <f>+Sayfa2!H5</f>
        <v>70</v>
      </c>
      <c r="C8" s="45">
        <f>+Sayfa2!F5</f>
        <v>200</v>
      </c>
      <c r="E8" s="45">
        <f>+Sayfa2!G5</f>
        <v>5</v>
      </c>
      <c r="F8" s="45">
        <f t="shared" ref="F8:F9" si="2">C8*E8</f>
        <v>1000</v>
      </c>
      <c r="G8" s="58"/>
    </row>
    <row r="9" spans="1:20" x14ac:dyDescent="0.25">
      <c r="A9" s="45">
        <v>3</v>
      </c>
      <c r="B9" s="45">
        <f>+Sayfa2!L5</f>
        <v>70</v>
      </c>
      <c r="C9" s="45">
        <f>+Sayfa2!J5</f>
        <v>150</v>
      </c>
      <c r="E9" s="45">
        <f>+Sayfa2!K5</f>
        <v>5</v>
      </c>
      <c r="F9" s="45">
        <f t="shared" si="2"/>
        <v>750</v>
      </c>
      <c r="G9" s="58"/>
    </row>
    <row r="10" spans="1:20" x14ac:dyDescent="0.25">
      <c r="B10" s="2">
        <f>+ROUND(AVERAGE(B7:B9),0)</f>
        <v>70</v>
      </c>
    </row>
    <row r="11" spans="1:20" x14ac:dyDescent="0.25">
      <c r="D11" s="58" t="s">
        <v>15</v>
      </c>
      <c r="E11" s="58"/>
      <c r="F11" s="58"/>
      <c r="G11" s="58" t="s">
        <v>16</v>
      </c>
      <c r="H11" s="58"/>
      <c r="I11" s="58"/>
      <c r="J11" s="58" t="s">
        <v>17</v>
      </c>
      <c r="K11" s="58"/>
      <c r="L11" s="58"/>
    </row>
    <row r="12" spans="1:20" ht="32.25" x14ac:dyDescent="0.25">
      <c r="A12" s="45" t="s">
        <v>25</v>
      </c>
      <c r="B12" s="45" t="s">
        <v>26</v>
      </c>
      <c r="C12" s="45" t="s">
        <v>27</v>
      </c>
      <c r="D12" s="45" t="s">
        <v>70</v>
      </c>
      <c r="E12" s="45" t="s">
        <v>71</v>
      </c>
      <c r="F12" s="45" t="s">
        <v>72</v>
      </c>
      <c r="G12" s="45" t="s">
        <v>70</v>
      </c>
      <c r="H12" s="45" t="s">
        <v>71</v>
      </c>
      <c r="I12" s="45" t="s">
        <v>72</v>
      </c>
      <c r="J12" s="45" t="s">
        <v>28</v>
      </c>
      <c r="K12" s="45" t="s">
        <v>29</v>
      </c>
      <c r="L12" s="45" t="s">
        <v>30</v>
      </c>
    </row>
    <row r="13" spans="1:20" x14ac:dyDescent="0.25">
      <c r="B13" s="3" t="str">
        <f>+Sayfa2!A3</f>
        <v>03.12.2021</v>
      </c>
      <c r="C13" s="5"/>
      <c r="D13" s="6">
        <f>+Sayfa2!B18</f>
        <v>4.5200000000000005</v>
      </c>
      <c r="E13" s="6">
        <f>+Sayfa2!F18</f>
        <v>7.4</v>
      </c>
      <c r="F13" s="6">
        <f>+Sayfa2!J18</f>
        <v>5.3599999999999994</v>
      </c>
      <c r="G13" s="9">
        <f>D13/$F$7</f>
        <v>2.2600000000000003E-3</v>
      </c>
      <c r="H13" s="9">
        <f>E13/$F$8</f>
        <v>7.4000000000000003E-3</v>
      </c>
      <c r="I13" s="9">
        <f>F13/$F$9</f>
        <v>7.1466666666666658E-3</v>
      </c>
      <c r="J13" s="10">
        <f>G13*$C2</f>
        <v>17326.666666666668</v>
      </c>
      <c r="K13" s="10">
        <f t="shared" ref="K13:L15" si="3">H13*$C2</f>
        <v>56733.333333333336</v>
      </c>
      <c r="L13" s="10">
        <f t="shared" si="3"/>
        <v>54791.111111111109</v>
      </c>
    </row>
    <row r="14" spans="1:20" x14ac:dyDescent="0.25">
      <c r="B14" s="3" t="str">
        <f>+Sayfa2!A21</f>
        <v>07.12.2021</v>
      </c>
      <c r="C14" s="5"/>
      <c r="D14" s="6">
        <f>+Sayfa2!B36</f>
        <v>4.5860000000000003</v>
      </c>
      <c r="E14" s="6">
        <f>+Sayfa2!F36</f>
        <v>5.3000000000000007</v>
      </c>
      <c r="F14" s="6">
        <f>+Sayfa2!J36</f>
        <v>7.09</v>
      </c>
      <c r="G14" s="9">
        <f t="shared" ref="G14:G15" si="4">D14/$F$7</f>
        <v>2.2930000000000003E-3</v>
      </c>
      <c r="H14" s="9">
        <f t="shared" ref="H14:H15" si="5">E14/$F$8</f>
        <v>5.3000000000000009E-3</v>
      </c>
      <c r="I14" s="9">
        <f t="shared" ref="I14:I15" si="6">F14/$F$9</f>
        <v>9.4533333333333327E-3</v>
      </c>
      <c r="J14" s="10">
        <f t="shared" ref="J14:J15" si="7">G14*$C3</f>
        <v>17579.666666666672</v>
      </c>
      <c r="K14" s="10">
        <f t="shared" si="3"/>
        <v>40633.333333333343</v>
      </c>
      <c r="L14" s="10">
        <f t="shared" si="3"/>
        <v>72475.555555555547</v>
      </c>
    </row>
    <row r="15" spans="1:20" x14ac:dyDescent="0.25">
      <c r="B15" s="3" t="str">
        <f>+Sayfa2!A39</f>
        <v>08.12.2021</v>
      </c>
      <c r="C15" s="5"/>
      <c r="D15" s="6">
        <f>+Sayfa2!B54</f>
        <v>4.910000000000001</v>
      </c>
      <c r="E15" s="6">
        <f>+Sayfa2!F54</f>
        <v>3</v>
      </c>
      <c r="F15" s="6">
        <f>+Sayfa2!J54</f>
        <v>2.44</v>
      </c>
      <c r="G15" s="9">
        <f t="shared" si="4"/>
        <v>2.4550000000000006E-3</v>
      </c>
      <c r="H15" s="9">
        <f t="shared" si="5"/>
        <v>3.0000000000000001E-3</v>
      </c>
      <c r="I15" s="9">
        <f t="shared" si="6"/>
        <v>3.2533333333333333E-3</v>
      </c>
      <c r="J15" s="10">
        <f t="shared" si="7"/>
        <v>18821.666666666672</v>
      </c>
      <c r="K15" s="10">
        <f t="shared" si="3"/>
        <v>23000</v>
      </c>
      <c r="L15" s="10">
        <f t="shared" si="3"/>
        <v>24942.222222222223</v>
      </c>
    </row>
    <row r="16" spans="1:20" x14ac:dyDescent="0.25">
      <c r="B16" s="3"/>
      <c r="C16" s="5"/>
      <c r="G16" s="9"/>
      <c r="H16" s="9"/>
      <c r="I16" s="9"/>
      <c r="J16" s="10"/>
      <c r="K16" s="10"/>
      <c r="L16" s="10"/>
    </row>
    <row r="17" spans="1:12" x14ac:dyDescent="0.25">
      <c r="B17" s="3"/>
      <c r="C17" s="5"/>
      <c r="G17" s="9"/>
      <c r="H17" s="9"/>
      <c r="I17" s="9"/>
      <c r="J17" s="10"/>
      <c r="K17" s="10"/>
      <c r="L17" s="10"/>
    </row>
    <row r="18" spans="1:12" x14ac:dyDescent="0.25">
      <c r="B18" s="3"/>
      <c r="C18" s="5"/>
      <c r="G18" s="9"/>
      <c r="H18" s="9"/>
      <c r="I18" s="9"/>
      <c r="J18" s="10"/>
      <c r="K18" s="10"/>
      <c r="L18" s="10"/>
    </row>
    <row r="19" spans="1:12" x14ac:dyDescent="0.25">
      <c r="C19" s="5"/>
      <c r="G19" s="9"/>
      <c r="H19" s="9"/>
      <c r="I19" s="9"/>
      <c r="J19" s="10"/>
      <c r="K19" s="10"/>
      <c r="L19" s="10"/>
    </row>
    <row r="20" spans="1:12" x14ac:dyDescent="0.25">
      <c r="C20" s="5"/>
      <c r="G20" s="9"/>
      <c r="H20" s="9"/>
      <c r="I20" s="9"/>
      <c r="J20" s="10"/>
      <c r="K20" s="10"/>
      <c r="L20" s="10"/>
    </row>
    <row r="21" spans="1:12" x14ac:dyDescent="0.25">
      <c r="C21" s="5"/>
      <c r="G21" s="9"/>
      <c r="H21" s="9"/>
      <c r="I21" s="9"/>
      <c r="J21" s="10"/>
      <c r="K21" s="10"/>
      <c r="L21" s="10"/>
    </row>
    <row r="22" spans="1:12" x14ac:dyDescent="0.25">
      <c r="C22" s="5"/>
      <c r="G22" s="9"/>
      <c r="H22" s="9"/>
      <c r="I22" s="9"/>
      <c r="J22" s="10"/>
      <c r="K22" s="10"/>
      <c r="L22" s="10"/>
    </row>
    <row r="23" spans="1:12" ht="30" x14ac:dyDescent="0.25">
      <c r="A23" s="45" t="s">
        <v>33</v>
      </c>
      <c r="D23" s="6">
        <f>AVERAGE(D13:D22)</f>
        <v>4.6720000000000006</v>
      </c>
      <c r="E23" s="6">
        <f t="shared" ref="E23:F23" si="8">AVERAGE(E13:E22)</f>
        <v>5.2333333333333334</v>
      </c>
      <c r="F23" s="6">
        <f t="shared" si="8"/>
        <v>4.9633333333333329</v>
      </c>
      <c r="G23" s="9">
        <f>+AVERAGE(G13:G22)</f>
        <v>2.3360000000000004E-3</v>
      </c>
      <c r="H23" s="9">
        <f t="shared" ref="H23:I23" si="9">+AVERAGE(H13:H22)</f>
        <v>5.2333333333333338E-3</v>
      </c>
      <c r="I23" s="9">
        <f t="shared" si="9"/>
        <v>6.6177777777777771E-3</v>
      </c>
      <c r="J23" s="10">
        <f>+AVERAGE(J13:J22)</f>
        <v>17909.333333333339</v>
      </c>
      <c r="K23" s="10">
        <f>+AVERAGE(K13:K22)</f>
        <v>40122.222222222226</v>
      </c>
      <c r="L23" s="10">
        <f>+AVERAGE(L13:L22)</f>
        <v>50736.296296296292</v>
      </c>
    </row>
    <row r="24" spans="1:12" x14ac:dyDescent="0.25">
      <c r="A24" s="58" t="s">
        <v>35</v>
      </c>
      <c r="B24" s="58"/>
      <c r="J24" s="58">
        <f>SUM(J23:L23)/1000</f>
        <v>108.76785185185186</v>
      </c>
      <c r="K24" s="58"/>
      <c r="L24" s="58"/>
    </row>
    <row r="27" spans="1:12" ht="15" customHeight="1" x14ac:dyDescent="0.25">
      <c r="A27" s="58">
        <v>0.86599999999999999</v>
      </c>
      <c r="B27" s="58" t="s">
        <v>39</v>
      </c>
      <c r="C27" s="58"/>
      <c r="D27" s="58"/>
      <c r="E27" s="58"/>
      <c r="F27" s="57" t="s">
        <v>37</v>
      </c>
      <c r="G27" s="57"/>
      <c r="H27" s="57"/>
      <c r="I27" s="57"/>
      <c r="J27" s="57"/>
      <c r="K27" s="57"/>
      <c r="L27" s="5"/>
    </row>
    <row r="28" spans="1:12" ht="15" customHeight="1" x14ac:dyDescent="0.25">
      <c r="A28" s="58"/>
      <c r="B28" s="58"/>
      <c r="C28" s="58"/>
      <c r="D28" s="58"/>
      <c r="E28" s="58"/>
      <c r="F28" s="15" t="s">
        <v>55</v>
      </c>
      <c r="G28" s="46" t="s">
        <v>56</v>
      </c>
      <c r="H28" s="57" t="s">
        <v>40</v>
      </c>
      <c r="I28" s="57"/>
      <c r="J28" s="57"/>
      <c r="K28" s="45">
        <f>J24*0.5</f>
        <v>54.383925925925929</v>
      </c>
      <c r="L28" s="16">
        <f>+ROUND(K28,4)</f>
        <v>54.383899999999997</v>
      </c>
    </row>
    <row r="29" spans="1:12" ht="15" customHeight="1" x14ac:dyDescent="0.25">
      <c r="F29" s="15" t="s">
        <v>57</v>
      </c>
      <c r="G29" s="46" t="s">
        <v>56</v>
      </c>
      <c r="H29" s="57" t="s">
        <v>40</v>
      </c>
      <c r="I29" s="57"/>
      <c r="J29" s="57"/>
      <c r="K29" s="45">
        <f>J24*0.3</f>
        <v>32.630355555555553</v>
      </c>
      <c r="L29" s="16">
        <f>+ROUND(K29,4)</f>
        <v>32.630400000000002</v>
      </c>
    </row>
    <row r="30" spans="1:12" ht="15" customHeight="1" x14ac:dyDescent="0.25">
      <c r="F30" s="15" t="s">
        <v>58</v>
      </c>
      <c r="G30" s="46" t="s">
        <v>56</v>
      </c>
      <c r="H30" s="57" t="s">
        <v>40</v>
      </c>
      <c r="I30" s="57"/>
      <c r="J30" s="57"/>
      <c r="K30" s="45">
        <f>J24*0.4</f>
        <v>43.507140740740745</v>
      </c>
    </row>
    <row r="33" spans="1:17" x14ac:dyDescent="0.25">
      <c r="C33" s="58" t="s">
        <v>15</v>
      </c>
      <c r="D33" s="58" t="s">
        <v>38</v>
      </c>
    </row>
    <row r="34" spans="1:17" x14ac:dyDescent="0.25">
      <c r="C34" s="58"/>
      <c r="D34" s="58"/>
    </row>
    <row r="35" spans="1:17" x14ac:dyDescent="0.25">
      <c r="A35" s="45" t="s">
        <v>9</v>
      </c>
      <c r="B35" s="12" t="s">
        <v>48</v>
      </c>
      <c r="C35" s="4">
        <f>+SUMIFS(Sayfa2!$B:$B,Sayfa2!A:A,A35)+SUMIFS(Sayfa2!F:F,Sayfa2!E:E,A35)+SUMIFS(Sayfa2!J:J,Sayfa2!I:I,A35)</f>
        <v>18.136000000000003</v>
      </c>
      <c r="D35" s="4">
        <f>C35/C$42*100</f>
        <v>51.601889261935931</v>
      </c>
      <c r="E35" s="16">
        <f>+IF(C35&gt;0.01,1,0)</f>
        <v>1</v>
      </c>
    </row>
    <row r="36" spans="1:17" x14ac:dyDescent="0.25">
      <c r="A36" s="45" t="s">
        <v>10</v>
      </c>
      <c r="B36" s="13" t="s">
        <v>45</v>
      </c>
      <c r="C36" s="4">
        <f>+SUMIFS(Sayfa2!$B:$B,Sayfa2!A:A,A36)+SUMIFS(Sayfa2!F:F,Sayfa2!E:E,A36)+SUMIFS(Sayfa2!J:J,Sayfa2!I:I,A36)</f>
        <v>1.85</v>
      </c>
      <c r="D36" s="4">
        <f>C36/C$42*100</f>
        <v>5.2637568997894499</v>
      </c>
      <c r="E36" s="16">
        <f t="shared" ref="E36:E41" si="10">+IF(C36&gt;0.01,1,0)</f>
        <v>1</v>
      </c>
    </row>
    <row r="37" spans="1:17" x14ac:dyDescent="0.25">
      <c r="A37" s="45" t="s">
        <v>11</v>
      </c>
      <c r="B37" s="14" t="s">
        <v>46</v>
      </c>
      <c r="C37" s="4">
        <f>+SUMIFS(Sayfa2!$B:$B,Sayfa2!A:A,A37)+SUMIFS(Sayfa2!F:F,Sayfa2!E:E,A37)+SUMIFS(Sayfa2!J:J,Sayfa2!I:I,A37)</f>
        <v>4.1500000000000004</v>
      </c>
      <c r="D37" s="4">
        <f>C37/C$42*100</f>
        <v>11.807887099527685</v>
      </c>
      <c r="E37" s="16">
        <f t="shared" si="10"/>
        <v>1</v>
      </c>
    </row>
    <row r="38" spans="1:17" x14ac:dyDescent="0.25">
      <c r="A38" s="45" t="s">
        <v>49</v>
      </c>
      <c r="B38" s="12" t="s">
        <v>50</v>
      </c>
      <c r="C38" s="4">
        <f>+SUMIFS(Sayfa2!$B:$B,Sayfa2!A:A,A38)+SUMIFS(Sayfa2!F:F,Sayfa2!E:E,A38)+SUMIFS(Sayfa2!J:J,Sayfa2!I:I,A38)</f>
        <v>6.24</v>
      </c>
      <c r="D38" s="4">
        <f t="shared" ref="D38:D41" si="11">C38/C$42*100</f>
        <v>17.754509759289817</v>
      </c>
      <c r="E38" s="16">
        <f t="shared" si="10"/>
        <v>1</v>
      </c>
    </row>
    <row r="39" spans="1:17" x14ac:dyDescent="0.25">
      <c r="A39" s="11" t="s">
        <v>51</v>
      </c>
      <c r="B39" s="12" t="s">
        <v>52</v>
      </c>
      <c r="C39" s="4">
        <f>+SUMIFS(Sayfa2!$B:$B,Sayfa2!A:A,A39)+SUMIFS(Sayfa2!F:F,Sayfa2!E:E,A39)+SUMIFS(Sayfa2!J:J,Sayfa2!I:I,A39)</f>
        <v>3.1900000000000004</v>
      </c>
      <c r="D39" s="4">
        <f t="shared" si="11"/>
        <v>9.0764240596369437</v>
      </c>
      <c r="E39" s="16">
        <f t="shared" si="10"/>
        <v>1</v>
      </c>
    </row>
    <row r="40" spans="1:17" x14ac:dyDescent="0.25">
      <c r="A40" s="11" t="s">
        <v>53</v>
      </c>
      <c r="B40" s="12" t="s">
        <v>54</v>
      </c>
      <c r="C40" s="4">
        <f>+SUMIFS(Sayfa2!$B:$B,Sayfa2!A:A,A40)+SUMIFS(Sayfa2!F:F,Sayfa2!E:E,A40)+SUMIFS(Sayfa2!J:J,Sayfa2!I:I,A40)</f>
        <v>1.58</v>
      </c>
      <c r="D40" s="4">
        <f t="shared" si="11"/>
        <v>4.495532919820179</v>
      </c>
      <c r="E40" s="16">
        <f t="shared" si="10"/>
        <v>1</v>
      </c>
    </row>
    <row r="41" spans="1:17" x14ac:dyDescent="0.25">
      <c r="A41" s="11" t="s">
        <v>73</v>
      </c>
      <c r="B41" s="12" t="s">
        <v>74</v>
      </c>
      <c r="C41" s="4">
        <f>+SUMIFS(Sayfa2!$B:$B,Sayfa2!A:A,A41)+SUMIFS(Sayfa2!F:F,Sayfa2!E:E,A41)+SUMIFS(Sayfa2!J:J,Sayfa2!I:I,A41)</f>
        <v>0</v>
      </c>
      <c r="D41" s="4">
        <f t="shared" si="11"/>
        <v>0</v>
      </c>
      <c r="E41" s="16">
        <f t="shared" si="10"/>
        <v>0</v>
      </c>
    </row>
    <row r="42" spans="1:17" x14ac:dyDescent="0.25">
      <c r="B42" s="45" t="s">
        <v>12</v>
      </c>
      <c r="C42" s="45">
        <f>SUM(C35:C41)</f>
        <v>35.146000000000001</v>
      </c>
      <c r="D42" s="4">
        <f>SUM(D35:D41)</f>
        <v>100.00000000000001</v>
      </c>
    </row>
    <row r="46" spans="1:17" ht="15" customHeight="1" x14ac:dyDescent="0.25">
      <c r="A46" s="58" t="s">
        <v>41</v>
      </c>
      <c r="B46" s="58"/>
      <c r="C46" s="58"/>
      <c r="D46" s="58"/>
      <c r="E46" s="58"/>
      <c r="F46" s="58"/>
      <c r="G46" s="58"/>
      <c r="H46" s="58"/>
      <c r="I46" s="58"/>
      <c r="J46" s="58"/>
      <c r="K46" s="58"/>
      <c r="L46" s="58"/>
    </row>
    <row r="48" spans="1:17" ht="15" customHeight="1" x14ac:dyDescent="0.25">
      <c r="A48" s="59" t="str">
        <f>CONCATENATE("             ",E1," ","avlak sahasında belirlenen"," ","3 istasyonda"," ",G7," ","m²"," ","ağ alanına sahip"," ","ortalama"," ",B10," ","mm"," ","göz açıklığına sahip"," ",A9," ","adet ", "uzatma ağları kullanılarak"," ",Sayfa2!A3," ","-"," ",Sayfa2!A39," ","tarihleri arasında avcılık operasyonları düzenlenmiştir."," ","Denemeler sonucunda"," ",IF(E35=1,A35," "),",",IF(E36=1,A36," ")," ,",IF(E37=1,A37," ")," ",IF(E38=1,A38," "),",",IF(E39=1,A39," "),",",IF(E40=1,A40," "),",",IF(E41=1,A41," ")," ","türlerinden toplam"," ",C42," ","kg"," ","balık yakalanmış olup toplam avın ağırlığına göre dağılımı ise şu şekildedir."," ",IF(E35=1,B35," ")," ","türü"," ","%"," ",ROUND(C35/C$42*100,2),", ",IF(E36=1,B36," ")," ","türü"," ","%"," ",ROUND(C36/C$42*100,2),", ",IF(E37=1,B37," ")," ","türü"," ","%"," ",ROUND(C37/C$42*100,2)," ","vs.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",L29," ","ton/yıl olarak tahmin edilmiştir.")</f>
        <v xml:space="preserve">             Altınkaya Baraj Gölü avlak sahasında belirlenen 3 istasyonda 3750 m² ağ alanına sahip ortalama 70 mm göz açıklığına sahip 3 adet uzatma ağları kullanılarak 03.12.2021 - 08.12.2021 tarihleri arasında avcılık operasyonları düzenlenmiştir. Denemeler sonucunda Sazan,Yayın ,Sudak Siraz,Tatlısu kefali,Bıyıklı balık,  türlerinden toplam 35,146 kg balık yakalanmış olup toplam avın ağırlığına göre dağılımı ise şu şekildedir. C.carpio türü % 51,6, S. glanis türü % 5,26, S. lucioperca türü % 11,81 vs.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32,6304 ton/yıl olarak tahmin edilmiştir.</v>
      </c>
      <c r="B48" s="59"/>
      <c r="C48" s="59"/>
      <c r="D48" s="59"/>
      <c r="E48" s="59"/>
      <c r="F48" s="59"/>
      <c r="G48" s="59"/>
      <c r="H48" s="59"/>
      <c r="I48" s="59"/>
      <c r="J48" s="59"/>
      <c r="K48" s="59"/>
      <c r="L48" s="59"/>
      <c r="M48" s="5"/>
      <c r="N48" s="5"/>
      <c r="O48" s="5"/>
      <c r="P48" s="5"/>
      <c r="Q48" s="5"/>
    </row>
    <row r="49" spans="1:17" x14ac:dyDescent="0.25">
      <c r="A49" s="59"/>
      <c r="B49" s="59"/>
      <c r="C49" s="59"/>
      <c r="D49" s="59"/>
      <c r="E49" s="59"/>
      <c r="F49" s="59"/>
      <c r="G49" s="59"/>
      <c r="H49" s="59"/>
      <c r="I49" s="59"/>
      <c r="J49" s="59"/>
      <c r="K49" s="59"/>
      <c r="L49" s="59"/>
      <c r="M49" s="5"/>
      <c r="N49" s="5"/>
      <c r="O49" s="5"/>
      <c r="P49" s="5"/>
      <c r="Q49" s="5"/>
    </row>
    <row r="50" spans="1:17" x14ac:dyDescent="0.25">
      <c r="A50" s="59"/>
      <c r="B50" s="59"/>
      <c r="C50" s="59"/>
      <c r="D50" s="59"/>
      <c r="E50" s="59"/>
      <c r="F50" s="59"/>
      <c r="G50" s="59"/>
      <c r="H50" s="59"/>
      <c r="I50" s="59"/>
      <c r="J50" s="59"/>
      <c r="K50" s="59"/>
      <c r="L50" s="59"/>
      <c r="M50" s="5"/>
      <c r="N50" s="5"/>
      <c r="O50" s="5"/>
      <c r="P50" s="5"/>
      <c r="Q50" s="5"/>
    </row>
    <row r="51" spans="1:17" x14ac:dyDescent="0.25">
      <c r="A51" s="59"/>
      <c r="B51" s="59"/>
      <c r="C51" s="59"/>
      <c r="D51" s="59"/>
      <c r="E51" s="59"/>
      <c r="F51" s="59"/>
      <c r="G51" s="59"/>
      <c r="H51" s="59"/>
      <c r="I51" s="59"/>
      <c r="J51" s="59"/>
      <c r="K51" s="59"/>
      <c r="L51" s="59"/>
      <c r="M51" s="5"/>
      <c r="N51" s="5"/>
      <c r="O51" s="5"/>
      <c r="P51" s="5"/>
      <c r="Q51" s="5"/>
    </row>
    <row r="52" spans="1:17" ht="14.25" customHeight="1" x14ac:dyDescent="0.25">
      <c r="A52" s="59"/>
      <c r="B52" s="59"/>
      <c r="C52" s="59"/>
      <c r="D52" s="59"/>
      <c r="E52" s="59"/>
      <c r="F52" s="59"/>
      <c r="G52" s="59"/>
      <c r="H52" s="59"/>
      <c r="I52" s="59"/>
      <c r="J52" s="59"/>
      <c r="K52" s="59"/>
      <c r="L52" s="59"/>
      <c r="M52" s="5"/>
      <c r="N52" s="5"/>
      <c r="O52" s="5"/>
      <c r="P52" s="5"/>
      <c r="Q52" s="5"/>
    </row>
    <row r="53" spans="1:17" x14ac:dyDescent="0.25">
      <c r="A53" s="59"/>
      <c r="B53" s="59"/>
      <c r="C53" s="59"/>
      <c r="D53" s="59"/>
      <c r="E53" s="59"/>
      <c r="F53" s="59"/>
      <c r="G53" s="59"/>
      <c r="H53" s="59"/>
      <c r="I53" s="59"/>
      <c r="J53" s="59"/>
      <c r="K53" s="59"/>
      <c r="L53" s="59"/>
      <c r="M53" s="5"/>
      <c r="N53" s="5"/>
      <c r="O53" s="5"/>
      <c r="P53" s="5"/>
      <c r="Q53" s="5"/>
    </row>
    <row r="54" spans="1:17" x14ac:dyDescent="0.25">
      <c r="A54" s="59"/>
      <c r="B54" s="59"/>
      <c r="C54" s="59"/>
      <c r="D54" s="59"/>
      <c r="E54" s="59"/>
      <c r="F54" s="59"/>
      <c r="G54" s="59"/>
      <c r="H54" s="59"/>
      <c r="I54" s="59"/>
      <c r="J54" s="59"/>
      <c r="K54" s="59"/>
      <c r="L54" s="59"/>
    </row>
    <row r="56" spans="1:17" ht="15" customHeight="1" x14ac:dyDescent="0.25">
      <c r="A56" s="57" t="s">
        <v>47</v>
      </c>
      <c r="B56" s="57"/>
      <c r="C56" s="57"/>
      <c r="D56" s="57"/>
      <c r="E56" s="57"/>
      <c r="F56" s="57"/>
      <c r="G56" s="57"/>
      <c r="H56" s="57"/>
      <c r="I56" s="57"/>
      <c r="J56" s="57"/>
      <c r="K56" s="57"/>
      <c r="L56" s="57"/>
    </row>
    <row r="57" spans="1:17" x14ac:dyDescent="0.25">
      <c r="A57" s="57"/>
      <c r="B57" s="57"/>
      <c r="C57" s="57"/>
      <c r="D57" s="57"/>
      <c r="E57" s="57"/>
      <c r="F57" s="57"/>
      <c r="G57" s="57"/>
      <c r="H57" s="57"/>
      <c r="I57" s="57"/>
      <c r="J57" s="57"/>
      <c r="K57" s="57"/>
      <c r="L57" s="57"/>
    </row>
    <row r="58" spans="1:17" x14ac:dyDescent="0.25">
      <c r="A58" s="57"/>
      <c r="B58" s="57"/>
      <c r="C58" s="57"/>
      <c r="D58" s="57"/>
      <c r="E58" s="57"/>
      <c r="F58" s="57"/>
      <c r="G58" s="57"/>
      <c r="H58" s="57"/>
      <c r="I58" s="57"/>
      <c r="J58" s="57"/>
      <c r="K58" s="57"/>
      <c r="L58" s="57"/>
    </row>
    <row r="59" spans="1:17" x14ac:dyDescent="0.25">
      <c r="A59" s="57"/>
      <c r="B59" s="57"/>
      <c r="C59" s="57"/>
      <c r="D59" s="57"/>
      <c r="E59" s="57"/>
      <c r="F59" s="57"/>
      <c r="G59" s="57"/>
      <c r="H59" s="57"/>
      <c r="I59" s="57"/>
      <c r="J59" s="57"/>
      <c r="K59" s="57"/>
      <c r="L59" s="57"/>
    </row>
    <row r="65" s="45" customFormat="1" x14ac:dyDescent="0.25"/>
    <row r="66" s="45" customFormat="1" x14ac:dyDescent="0.25"/>
  </sheetData>
  <mergeCells count="27">
    <mergeCell ref="A56:L59"/>
    <mergeCell ref="B1:D1"/>
    <mergeCell ref="A24:B24"/>
    <mergeCell ref="J24:L24"/>
    <mergeCell ref="C2:D2"/>
    <mergeCell ref="C3:D3"/>
    <mergeCell ref="E1:G1"/>
    <mergeCell ref="E2:G2"/>
    <mergeCell ref="E3:G3"/>
    <mergeCell ref="D11:F11"/>
    <mergeCell ref="G11:I11"/>
    <mergeCell ref="I1:J1"/>
    <mergeCell ref="H2:I2"/>
    <mergeCell ref="J11:L11"/>
    <mergeCell ref="G7:G9"/>
    <mergeCell ref="H3:L4"/>
    <mergeCell ref="C4:D4"/>
    <mergeCell ref="H30:J30"/>
    <mergeCell ref="A27:A28"/>
    <mergeCell ref="B27:E28"/>
    <mergeCell ref="F27:K27"/>
    <mergeCell ref="H28:J28"/>
    <mergeCell ref="H29:J29"/>
    <mergeCell ref="A46:L46"/>
    <mergeCell ref="C33:C34"/>
    <mergeCell ref="D33:D34"/>
    <mergeCell ref="A48:L54"/>
  </mergeCells>
  <printOptions horizontalCentered="1" verticalCentered="1"/>
  <pageMargins left="0.59055118110236227" right="0.59055118110236227" top="0.59055118110236227" bottom="0.19685039370078741" header="0.31496062992125984" footer="0.31496062992125984"/>
  <pageSetup paperSize="9" scale="69"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6F2F6-7F71-454E-84C0-9795A5A3000B}">
  <dimension ref="A1:T66"/>
  <sheetViews>
    <sheetView zoomScaleNormal="100" workbookViewId="0">
      <selection sqref="A1:XFD1048576"/>
    </sheetView>
  </sheetViews>
  <sheetFormatPr defaultColWidth="9.140625" defaultRowHeight="15" x14ac:dyDescent="0.25"/>
  <cols>
    <col min="1" max="1" width="10" style="44" customWidth="1"/>
    <col min="2" max="2" width="15" style="44" customWidth="1"/>
    <col min="3" max="3" width="13.7109375" style="44" customWidth="1"/>
    <col min="4" max="4" width="12.140625" style="44" customWidth="1"/>
    <col min="5" max="5" width="11.85546875" style="44" customWidth="1"/>
    <col min="6" max="6" width="10.140625" style="44" bestFit="1" customWidth="1"/>
    <col min="7" max="9" width="11.85546875" style="44" customWidth="1"/>
    <col min="10" max="12" width="12.85546875" style="44" customWidth="1"/>
    <col min="13" max="14" width="9.28515625" style="44" bestFit="1" customWidth="1"/>
    <col min="15" max="15" width="14.28515625" style="44" customWidth="1"/>
    <col min="16" max="20" width="14" style="44" bestFit="1" customWidth="1"/>
    <col min="21" max="21" width="16.7109375" style="44" customWidth="1"/>
    <col min="22" max="16384" width="9.140625" style="44"/>
  </cols>
  <sheetData>
    <row r="1" spans="1:20" x14ac:dyDescent="0.25">
      <c r="B1" s="58" t="s">
        <v>31</v>
      </c>
      <c r="C1" s="58"/>
      <c r="D1" s="58"/>
      <c r="E1" s="58" t="s">
        <v>75</v>
      </c>
      <c r="F1" s="58"/>
      <c r="G1" s="58"/>
      <c r="H1" s="8">
        <v>23</v>
      </c>
      <c r="I1" s="60">
        <f>+C2+C3+C4</f>
        <v>23000000</v>
      </c>
      <c r="J1" s="60"/>
    </row>
    <row r="2" spans="1:20" x14ac:dyDescent="0.25">
      <c r="A2" s="44" t="s">
        <v>32</v>
      </c>
      <c r="B2" s="8">
        <f>+$H$1/3</f>
        <v>7.666666666666667</v>
      </c>
      <c r="C2" s="60">
        <f>+B2*1000000</f>
        <v>7666666.666666667</v>
      </c>
      <c r="D2" s="60"/>
      <c r="E2" s="58" t="s">
        <v>13</v>
      </c>
      <c r="F2" s="58"/>
      <c r="G2" s="58"/>
      <c r="H2" s="57">
        <v>200</v>
      </c>
      <c r="I2" s="57"/>
    </row>
    <row r="3" spans="1:20" ht="15" customHeight="1" x14ac:dyDescent="0.25">
      <c r="A3" s="44" t="s">
        <v>34</v>
      </c>
      <c r="B3" s="8">
        <f t="shared" ref="B3:B4" si="0">+$H$1/3</f>
        <v>7.666666666666667</v>
      </c>
      <c r="C3" s="60">
        <f t="shared" ref="C3:C4" si="1">+B3*1000000</f>
        <v>7666666.666666667</v>
      </c>
      <c r="D3" s="60"/>
      <c r="E3" s="58" t="s">
        <v>14</v>
      </c>
      <c r="F3" s="58"/>
      <c r="G3" s="58"/>
      <c r="H3" s="57" t="str">
        <f>+CONCATENATE(B35,",",B36,",",B37,",",B38,",",B39,",",B40," ,",B41," ","vs.")</f>
        <v>C.carpio,S. glanis,S. lucioperca,Capoeta sp.,S.cephalus,Barbus sp. ,P.marmoratus vs.</v>
      </c>
      <c r="I3" s="57"/>
      <c r="J3" s="57"/>
      <c r="K3" s="57"/>
      <c r="L3" s="57"/>
      <c r="P3" s="5"/>
      <c r="Q3" s="5"/>
      <c r="R3" s="5"/>
      <c r="S3" s="5"/>
      <c r="T3" s="5"/>
    </row>
    <row r="4" spans="1:20" x14ac:dyDescent="0.25">
      <c r="A4" s="44" t="s">
        <v>36</v>
      </c>
      <c r="B4" s="8">
        <f t="shared" si="0"/>
        <v>7.666666666666667</v>
      </c>
      <c r="C4" s="60">
        <f t="shared" si="1"/>
        <v>7666666.666666667</v>
      </c>
      <c r="D4" s="60"/>
      <c r="H4" s="57"/>
      <c r="I4" s="57"/>
      <c r="J4" s="57"/>
      <c r="K4" s="57"/>
      <c r="L4" s="57"/>
      <c r="N4" s="45"/>
    </row>
    <row r="5" spans="1:20" ht="30" customHeight="1" x14ac:dyDescent="0.25"/>
    <row r="6" spans="1:20" ht="29.25" customHeight="1" x14ac:dyDescent="0.25">
      <c r="A6" s="44" t="s">
        <v>18</v>
      </c>
      <c r="B6" s="44" t="s">
        <v>19</v>
      </c>
      <c r="C6" s="44" t="s">
        <v>20</v>
      </c>
      <c r="D6" s="44" t="s">
        <v>21</v>
      </c>
      <c r="E6" s="44" t="s">
        <v>22</v>
      </c>
      <c r="F6" s="44" t="s">
        <v>23</v>
      </c>
      <c r="G6" s="44" t="s">
        <v>24</v>
      </c>
    </row>
    <row r="7" spans="1:20" x14ac:dyDescent="0.25">
      <c r="A7" s="44">
        <v>1</v>
      </c>
      <c r="B7" s="44">
        <f>+Sayfa2!D5</f>
        <v>70</v>
      </c>
      <c r="C7" s="44">
        <f>+Sayfa2!B5</f>
        <v>200</v>
      </c>
      <c r="E7" s="44">
        <f>+Sayfa2!C5</f>
        <v>10</v>
      </c>
      <c r="F7" s="44">
        <f>C7*E7</f>
        <v>2000</v>
      </c>
      <c r="G7" s="58">
        <f>SUM(F7:F9)</f>
        <v>3750</v>
      </c>
    </row>
    <row r="8" spans="1:20" x14ac:dyDescent="0.25">
      <c r="A8" s="44">
        <v>2</v>
      </c>
      <c r="B8" s="44">
        <f>+Sayfa2!H5</f>
        <v>70</v>
      </c>
      <c r="C8" s="44">
        <f>+Sayfa2!F5</f>
        <v>200</v>
      </c>
      <c r="E8" s="44">
        <f>+Sayfa2!G5</f>
        <v>5</v>
      </c>
      <c r="F8" s="44">
        <f t="shared" ref="F8:F9" si="2">C8*E8</f>
        <v>1000</v>
      </c>
      <c r="G8" s="58"/>
    </row>
    <row r="9" spans="1:20" x14ac:dyDescent="0.25">
      <c r="A9" s="44">
        <v>3</v>
      </c>
      <c r="B9" s="44">
        <f>+Sayfa2!L5</f>
        <v>70</v>
      </c>
      <c r="C9" s="44">
        <f>+Sayfa2!J5</f>
        <v>150</v>
      </c>
      <c r="E9" s="44">
        <f>+Sayfa2!K5</f>
        <v>5</v>
      </c>
      <c r="F9" s="44">
        <f t="shared" si="2"/>
        <v>750</v>
      </c>
      <c r="G9" s="58"/>
    </row>
    <row r="10" spans="1:20" x14ac:dyDescent="0.25">
      <c r="B10" s="2">
        <f>+ROUND(AVERAGE(B7:B9),0)</f>
        <v>70</v>
      </c>
    </row>
    <row r="11" spans="1:20" x14ac:dyDescent="0.25">
      <c r="D11" s="58" t="s">
        <v>15</v>
      </c>
      <c r="E11" s="58"/>
      <c r="F11" s="58"/>
      <c r="G11" s="58" t="s">
        <v>16</v>
      </c>
      <c r="H11" s="58"/>
      <c r="I11" s="58"/>
      <c r="J11" s="58" t="s">
        <v>17</v>
      </c>
      <c r="K11" s="58"/>
      <c r="L11" s="58"/>
    </row>
    <row r="12" spans="1:20" ht="32.25" x14ac:dyDescent="0.25">
      <c r="A12" s="44" t="s">
        <v>25</v>
      </c>
      <c r="B12" s="44" t="s">
        <v>26</v>
      </c>
      <c r="C12" s="44" t="s">
        <v>27</v>
      </c>
      <c r="D12" s="44" t="s">
        <v>70</v>
      </c>
      <c r="E12" s="44" t="s">
        <v>71</v>
      </c>
      <c r="F12" s="44" t="s">
        <v>72</v>
      </c>
      <c r="G12" s="44" t="s">
        <v>70</v>
      </c>
      <c r="H12" s="44" t="s">
        <v>71</v>
      </c>
      <c r="I12" s="44" t="s">
        <v>72</v>
      </c>
      <c r="J12" s="44" t="s">
        <v>28</v>
      </c>
      <c r="K12" s="44" t="s">
        <v>29</v>
      </c>
      <c r="L12" s="44" t="s">
        <v>30</v>
      </c>
    </row>
    <row r="13" spans="1:20" x14ac:dyDescent="0.25">
      <c r="B13" s="3" t="str">
        <f>+Sayfa2!A3</f>
        <v>03.12.2021</v>
      </c>
      <c r="C13" s="5"/>
      <c r="D13" s="6">
        <f>+Sayfa2!B18</f>
        <v>4.5200000000000005</v>
      </c>
      <c r="E13" s="6">
        <f>+Sayfa2!F18</f>
        <v>7.4</v>
      </c>
      <c r="F13" s="6">
        <f>+Sayfa2!J18</f>
        <v>5.3599999999999994</v>
      </c>
      <c r="G13" s="9">
        <f>D13/$F$7</f>
        <v>2.2600000000000003E-3</v>
      </c>
      <c r="H13" s="9">
        <f>E13/$F$8</f>
        <v>7.4000000000000003E-3</v>
      </c>
      <c r="I13" s="9">
        <f>F13/$F$9</f>
        <v>7.1466666666666658E-3</v>
      </c>
      <c r="J13" s="10">
        <f>G13*$C2</f>
        <v>17326.666666666668</v>
      </c>
      <c r="K13" s="10">
        <f t="shared" ref="K13:L15" si="3">H13*$C2</f>
        <v>56733.333333333336</v>
      </c>
      <c r="L13" s="10">
        <f t="shared" si="3"/>
        <v>54791.111111111109</v>
      </c>
    </row>
    <row r="14" spans="1:20" x14ac:dyDescent="0.25">
      <c r="B14" s="3" t="str">
        <f>+Sayfa2!A21</f>
        <v>07.12.2021</v>
      </c>
      <c r="C14" s="5"/>
      <c r="D14" s="6">
        <f>+Sayfa2!B36</f>
        <v>4.5860000000000003</v>
      </c>
      <c r="E14" s="6">
        <f>+Sayfa2!F36</f>
        <v>5.3000000000000007</v>
      </c>
      <c r="F14" s="6">
        <f>+Sayfa2!J36</f>
        <v>7.09</v>
      </c>
      <c r="G14" s="9">
        <f t="shared" ref="G14:G15" si="4">D14/$F$7</f>
        <v>2.2930000000000003E-3</v>
      </c>
      <c r="H14" s="9">
        <f t="shared" ref="H14:H15" si="5">E14/$F$8</f>
        <v>5.3000000000000009E-3</v>
      </c>
      <c r="I14" s="9">
        <f t="shared" ref="I14:I15" si="6">F14/$F$9</f>
        <v>9.4533333333333327E-3</v>
      </c>
      <c r="J14" s="10">
        <f t="shared" ref="J14:J15" si="7">G14*$C3</f>
        <v>17579.666666666672</v>
      </c>
      <c r="K14" s="10">
        <f t="shared" si="3"/>
        <v>40633.333333333343</v>
      </c>
      <c r="L14" s="10">
        <f t="shared" si="3"/>
        <v>72475.555555555547</v>
      </c>
    </row>
    <row r="15" spans="1:20" x14ac:dyDescent="0.25">
      <c r="B15" s="3" t="str">
        <f>+Sayfa2!A39</f>
        <v>08.12.2021</v>
      </c>
      <c r="C15" s="5"/>
      <c r="D15" s="6">
        <f>+Sayfa2!B54</f>
        <v>4.910000000000001</v>
      </c>
      <c r="E15" s="6">
        <f>+Sayfa2!F54</f>
        <v>3</v>
      </c>
      <c r="F15" s="6">
        <f>+Sayfa2!J54</f>
        <v>2.44</v>
      </c>
      <c r="G15" s="9">
        <f t="shared" si="4"/>
        <v>2.4550000000000006E-3</v>
      </c>
      <c r="H15" s="9">
        <f t="shared" si="5"/>
        <v>3.0000000000000001E-3</v>
      </c>
      <c r="I15" s="9">
        <f t="shared" si="6"/>
        <v>3.2533333333333333E-3</v>
      </c>
      <c r="J15" s="10">
        <f t="shared" si="7"/>
        <v>18821.666666666672</v>
      </c>
      <c r="K15" s="10">
        <f t="shared" si="3"/>
        <v>23000</v>
      </c>
      <c r="L15" s="10">
        <f t="shared" si="3"/>
        <v>24942.222222222223</v>
      </c>
    </row>
    <row r="16" spans="1:20" x14ac:dyDescent="0.25">
      <c r="B16" s="3"/>
      <c r="C16" s="5"/>
      <c r="G16" s="9"/>
      <c r="H16" s="9"/>
      <c r="I16" s="9"/>
      <c r="J16" s="10"/>
      <c r="K16" s="10"/>
      <c r="L16" s="10"/>
    </row>
    <row r="17" spans="1:12" x14ac:dyDescent="0.25">
      <c r="B17" s="3"/>
      <c r="C17" s="5"/>
      <c r="G17" s="9"/>
      <c r="H17" s="9"/>
      <c r="I17" s="9"/>
      <c r="J17" s="10"/>
      <c r="K17" s="10"/>
      <c r="L17" s="10"/>
    </row>
    <row r="18" spans="1:12" x14ac:dyDescent="0.25">
      <c r="B18" s="3"/>
      <c r="C18" s="5"/>
      <c r="G18" s="9"/>
      <c r="H18" s="9"/>
      <c r="I18" s="9"/>
      <c r="J18" s="10"/>
      <c r="K18" s="10"/>
      <c r="L18" s="10"/>
    </row>
    <row r="19" spans="1:12" x14ac:dyDescent="0.25">
      <c r="C19" s="5"/>
      <c r="G19" s="9"/>
      <c r="H19" s="9"/>
      <c r="I19" s="9"/>
      <c r="J19" s="10"/>
      <c r="K19" s="10"/>
      <c r="L19" s="10"/>
    </row>
    <row r="20" spans="1:12" x14ac:dyDescent="0.25">
      <c r="C20" s="5"/>
      <c r="G20" s="9"/>
      <c r="H20" s="9"/>
      <c r="I20" s="9"/>
      <c r="J20" s="10"/>
      <c r="K20" s="10"/>
      <c r="L20" s="10"/>
    </row>
    <row r="21" spans="1:12" x14ac:dyDescent="0.25">
      <c r="C21" s="5"/>
      <c r="G21" s="9"/>
      <c r="H21" s="9"/>
      <c r="I21" s="9"/>
      <c r="J21" s="10"/>
      <c r="K21" s="10"/>
      <c r="L21" s="10"/>
    </row>
    <row r="22" spans="1:12" x14ac:dyDescent="0.25">
      <c r="C22" s="5"/>
      <c r="G22" s="9"/>
      <c r="H22" s="9"/>
      <c r="I22" s="9"/>
      <c r="J22" s="10"/>
      <c r="K22" s="10"/>
      <c r="L22" s="10"/>
    </row>
    <row r="23" spans="1:12" ht="30" x14ac:dyDescent="0.25">
      <c r="A23" s="44" t="s">
        <v>33</v>
      </c>
      <c r="D23" s="6">
        <f>AVERAGE(D13:D22)</f>
        <v>4.6720000000000006</v>
      </c>
      <c r="E23" s="6">
        <f t="shared" ref="E23:F23" si="8">AVERAGE(E13:E22)</f>
        <v>5.2333333333333334</v>
      </c>
      <c r="F23" s="6">
        <f t="shared" si="8"/>
        <v>4.9633333333333329</v>
      </c>
      <c r="G23" s="9">
        <f>+AVERAGE(G13:G22)</f>
        <v>2.3360000000000004E-3</v>
      </c>
      <c r="H23" s="9">
        <f t="shared" ref="H23:I23" si="9">+AVERAGE(H13:H22)</f>
        <v>5.2333333333333338E-3</v>
      </c>
      <c r="I23" s="9">
        <f t="shared" si="9"/>
        <v>6.6177777777777771E-3</v>
      </c>
      <c r="J23" s="10">
        <f>+AVERAGE(J13:J22)</f>
        <v>17909.333333333339</v>
      </c>
      <c r="K23" s="10">
        <f>+AVERAGE(K13:K22)</f>
        <v>40122.222222222226</v>
      </c>
      <c r="L23" s="10">
        <f>+AVERAGE(L13:L22)</f>
        <v>50736.296296296292</v>
      </c>
    </row>
    <row r="24" spans="1:12" x14ac:dyDescent="0.25">
      <c r="A24" s="58" t="s">
        <v>35</v>
      </c>
      <c r="B24" s="58"/>
      <c r="J24" s="58">
        <f>SUM(J23:L23)/1000</f>
        <v>108.76785185185186</v>
      </c>
      <c r="K24" s="58"/>
      <c r="L24" s="58"/>
    </row>
    <row r="27" spans="1:12" ht="15" customHeight="1" x14ac:dyDescent="0.25">
      <c r="A27" s="58">
        <v>0.86599999999999999</v>
      </c>
      <c r="B27" s="58" t="s">
        <v>39</v>
      </c>
      <c r="C27" s="58"/>
      <c r="D27" s="58"/>
      <c r="E27" s="58"/>
      <c r="F27" s="57" t="s">
        <v>37</v>
      </c>
      <c r="G27" s="57"/>
      <c r="H27" s="57"/>
      <c r="I27" s="57"/>
      <c r="J27" s="57"/>
      <c r="K27" s="57"/>
      <c r="L27" s="5"/>
    </row>
    <row r="28" spans="1:12" ht="15" customHeight="1" x14ac:dyDescent="0.25">
      <c r="A28" s="58"/>
      <c r="B28" s="58"/>
      <c r="C28" s="58"/>
      <c r="D28" s="58"/>
      <c r="E28" s="58"/>
      <c r="F28" s="15" t="s">
        <v>55</v>
      </c>
      <c r="G28" s="43" t="s">
        <v>56</v>
      </c>
      <c r="H28" s="57" t="s">
        <v>40</v>
      </c>
      <c r="I28" s="57"/>
      <c r="J28" s="57"/>
      <c r="K28" s="44">
        <f>J24*0.5</f>
        <v>54.383925925925929</v>
      </c>
      <c r="L28" s="16">
        <f>+ROUND(K28,4)</f>
        <v>54.383899999999997</v>
      </c>
    </row>
    <row r="29" spans="1:12" ht="15" customHeight="1" x14ac:dyDescent="0.25">
      <c r="F29" s="15" t="s">
        <v>57</v>
      </c>
      <c r="G29" s="43" t="s">
        <v>56</v>
      </c>
      <c r="H29" s="57" t="s">
        <v>40</v>
      </c>
      <c r="I29" s="57"/>
      <c r="J29" s="57"/>
      <c r="K29" s="44">
        <f>J24*0.3</f>
        <v>32.630355555555553</v>
      </c>
      <c r="L29" s="16">
        <f>+ROUND(K29,4)</f>
        <v>32.630400000000002</v>
      </c>
    </row>
    <row r="30" spans="1:12" ht="15" customHeight="1" x14ac:dyDescent="0.25">
      <c r="F30" s="15" t="s">
        <v>58</v>
      </c>
      <c r="G30" s="43" t="s">
        <v>56</v>
      </c>
      <c r="H30" s="57" t="s">
        <v>40</v>
      </c>
      <c r="I30" s="57"/>
      <c r="J30" s="57"/>
      <c r="K30" s="44">
        <f>J24*0.4</f>
        <v>43.507140740740745</v>
      </c>
    </row>
    <row r="33" spans="1:17" x14ac:dyDescent="0.25">
      <c r="C33" s="58" t="s">
        <v>15</v>
      </c>
      <c r="D33" s="58" t="s">
        <v>38</v>
      </c>
    </row>
    <row r="34" spans="1:17" x14ac:dyDescent="0.25">
      <c r="C34" s="58"/>
      <c r="D34" s="58"/>
    </row>
    <row r="35" spans="1:17" x14ac:dyDescent="0.25">
      <c r="A35" s="44" t="s">
        <v>9</v>
      </c>
      <c r="B35" s="12" t="s">
        <v>48</v>
      </c>
      <c r="C35" s="4">
        <f>+SUMIFS(Sayfa2!$B:$B,Sayfa2!A:A,A35)+SUMIFS(Sayfa2!F:F,Sayfa2!E:E,A35)+SUMIFS(Sayfa2!J:J,Sayfa2!I:I,A35)</f>
        <v>18.136000000000003</v>
      </c>
      <c r="D35" s="4">
        <f>C35/C$42*100</f>
        <v>51.601889261935931</v>
      </c>
      <c r="E35" s="16">
        <f>+IF(C35&gt;0.01,1,0)</f>
        <v>1</v>
      </c>
    </row>
    <row r="36" spans="1:17" x14ac:dyDescent="0.25">
      <c r="A36" s="44" t="s">
        <v>10</v>
      </c>
      <c r="B36" s="13" t="s">
        <v>45</v>
      </c>
      <c r="C36" s="4">
        <f>+SUMIFS(Sayfa2!$B:$B,Sayfa2!A:A,A36)+SUMIFS(Sayfa2!F:F,Sayfa2!E:E,A36)+SUMIFS(Sayfa2!J:J,Sayfa2!I:I,A36)</f>
        <v>1.85</v>
      </c>
      <c r="D36" s="4">
        <f>C36/C$42*100</f>
        <v>5.2637568997894499</v>
      </c>
      <c r="E36" s="16">
        <f t="shared" ref="E36:E41" si="10">+IF(C36&gt;0.01,1,0)</f>
        <v>1</v>
      </c>
    </row>
    <row r="37" spans="1:17" x14ac:dyDescent="0.25">
      <c r="A37" s="44" t="s">
        <v>11</v>
      </c>
      <c r="B37" s="14" t="s">
        <v>46</v>
      </c>
      <c r="C37" s="4">
        <f>+SUMIFS(Sayfa2!$B:$B,Sayfa2!A:A,A37)+SUMIFS(Sayfa2!F:F,Sayfa2!E:E,A37)+SUMIFS(Sayfa2!J:J,Sayfa2!I:I,A37)</f>
        <v>4.1500000000000004</v>
      </c>
      <c r="D37" s="4">
        <f>C37/C$42*100</f>
        <v>11.807887099527685</v>
      </c>
      <c r="E37" s="16">
        <f t="shared" si="10"/>
        <v>1</v>
      </c>
    </row>
    <row r="38" spans="1:17" x14ac:dyDescent="0.25">
      <c r="A38" s="44" t="s">
        <v>49</v>
      </c>
      <c r="B38" s="12" t="s">
        <v>50</v>
      </c>
      <c r="C38" s="4">
        <f>+SUMIFS(Sayfa2!$B:$B,Sayfa2!A:A,A38)+SUMIFS(Sayfa2!F:F,Sayfa2!E:E,A38)+SUMIFS(Sayfa2!J:J,Sayfa2!I:I,A38)</f>
        <v>6.24</v>
      </c>
      <c r="D38" s="4">
        <f t="shared" ref="D38:D41" si="11">C38/C$42*100</f>
        <v>17.754509759289817</v>
      </c>
      <c r="E38" s="16">
        <f t="shared" si="10"/>
        <v>1</v>
      </c>
    </row>
    <row r="39" spans="1:17" x14ac:dyDescent="0.25">
      <c r="A39" s="11" t="s">
        <v>51</v>
      </c>
      <c r="B39" s="12" t="s">
        <v>52</v>
      </c>
      <c r="C39" s="4">
        <f>+SUMIFS(Sayfa2!$B:$B,Sayfa2!A:A,A39)+SUMIFS(Sayfa2!F:F,Sayfa2!E:E,A39)+SUMIFS(Sayfa2!J:J,Sayfa2!I:I,A39)</f>
        <v>3.1900000000000004</v>
      </c>
      <c r="D39" s="4">
        <f t="shared" si="11"/>
        <v>9.0764240596369437</v>
      </c>
      <c r="E39" s="16">
        <f t="shared" si="10"/>
        <v>1</v>
      </c>
    </row>
    <row r="40" spans="1:17" x14ac:dyDescent="0.25">
      <c r="A40" s="11" t="s">
        <v>53</v>
      </c>
      <c r="B40" s="12" t="s">
        <v>54</v>
      </c>
      <c r="C40" s="4">
        <f>+SUMIFS(Sayfa2!$B:$B,Sayfa2!A:A,A40)+SUMIFS(Sayfa2!F:F,Sayfa2!E:E,A40)+SUMIFS(Sayfa2!J:J,Sayfa2!I:I,A40)</f>
        <v>1.58</v>
      </c>
      <c r="D40" s="4">
        <f t="shared" si="11"/>
        <v>4.495532919820179</v>
      </c>
      <c r="E40" s="16">
        <f t="shared" si="10"/>
        <v>1</v>
      </c>
    </row>
    <row r="41" spans="1:17" x14ac:dyDescent="0.25">
      <c r="A41" s="11" t="s">
        <v>73</v>
      </c>
      <c r="B41" s="12" t="s">
        <v>74</v>
      </c>
      <c r="C41" s="4">
        <f>+SUMIFS(Sayfa2!$B:$B,Sayfa2!A:A,A41)+SUMIFS(Sayfa2!F:F,Sayfa2!E:E,A41)+SUMIFS(Sayfa2!J:J,Sayfa2!I:I,A41)</f>
        <v>0</v>
      </c>
      <c r="D41" s="4">
        <f t="shared" si="11"/>
        <v>0</v>
      </c>
      <c r="E41" s="16">
        <f t="shared" si="10"/>
        <v>0</v>
      </c>
    </row>
    <row r="42" spans="1:17" x14ac:dyDescent="0.25">
      <c r="B42" s="44" t="s">
        <v>12</v>
      </c>
      <c r="C42" s="44">
        <f>SUM(C35:C41)</f>
        <v>35.146000000000001</v>
      </c>
      <c r="D42" s="4">
        <f>SUM(D35:D41)</f>
        <v>100.00000000000001</v>
      </c>
    </row>
    <row r="46" spans="1:17" ht="15" customHeight="1" x14ac:dyDescent="0.25">
      <c r="A46" s="58" t="s">
        <v>41</v>
      </c>
      <c r="B46" s="58"/>
      <c r="C46" s="58"/>
      <c r="D46" s="58"/>
      <c r="E46" s="58"/>
      <c r="F46" s="58"/>
      <c r="G46" s="58"/>
      <c r="H46" s="58"/>
      <c r="I46" s="58"/>
      <c r="J46" s="58"/>
      <c r="K46" s="58"/>
      <c r="L46" s="58"/>
    </row>
    <row r="48" spans="1:17" ht="15" customHeight="1" x14ac:dyDescent="0.25">
      <c r="A48" s="59" t="str">
        <f>CONCATENATE("             ",E1," ","avlak sahasında belirlenen"," ","3 istasyonda"," ",G7," ","m²"," ","ağ alanına sahip"," ","ortalama"," ",B10," ","mm"," ","göz açıklığına sahip"," ",A9," ","adet ", "uzatma ağları kullanılarak"," ",Sayfa2!A3," ","-"," ",Sayfa2!A39," ","tarihleri arasında avcılık operasyonları düzenlenmiştir."," ","Denemeler sonucunda"," ",IF(E35=1,A35," "),",",IF(E36=1,A36," ")," ,",IF(E37=1,A37," ")," ",IF(E38=1,A38," "),",",IF(E39=1,A39," "),",",IF(E40=1,A40," "),",",IF(E41=1,A41," ")," ","türlerinden toplam"," ",C42," ","kg"," ","balık yakalanmış olup toplam avın ağırlığına göre dağılımı ise şu şekildedir."," ",IF(E35=1,B35," ")," ","türü"," ","%"," ",ROUND(C35/C$42*100,2),", ",IF(E36=1,B36," ")," ","türü"," ","%"," ",ROUND(C36/C$42*100,2),", ",IF(E37=1,B37," ")," ","türü"," ","%"," ",ROUND(C37/C$42*100,2)," ","vs.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",L29," ","ton/yıl olarak tahmin edilmiştir.")</f>
        <v xml:space="preserve">             Altınkaya Baraj Gölü avlak sahasında belirlenen 3 istasyonda 3750 m² ağ alanına sahip ortalama 70 mm göz açıklığına sahip 3 adet uzatma ağları kullanılarak 03.12.2021 - 08.12.2021 tarihleri arasında avcılık operasyonları düzenlenmiştir. Denemeler sonucunda Sazan,Yayın ,Sudak Siraz,Tatlısu kefali,Bıyıklı balık,  türlerinden toplam 35,146 kg balık yakalanmış olup toplam avın ağırlığına göre dağılımı ise şu şekildedir. C.carpio türü % 51,6, S. glanis türü % 5,26, S. lucioperca türü % 11,81 vs.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32,6304 ton/yıl olarak tahmin edilmiştir.</v>
      </c>
      <c r="B48" s="59"/>
      <c r="C48" s="59"/>
      <c r="D48" s="59"/>
      <c r="E48" s="59"/>
      <c r="F48" s="59"/>
      <c r="G48" s="59"/>
      <c r="H48" s="59"/>
      <c r="I48" s="59"/>
      <c r="J48" s="59"/>
      <c r="K48" s="59"/>
      <c r="L48" s="59"/>
      <c r="M48" s="5"/>
      <c r="N48" s="5"/>
      <c r="O48" s="5"/>
      <c r="P48" s="5"/>
      <c r="Q48" s="5"/>
    </row>
    <row r="49" spans="1:17" x14ac:dyDescent="0.25">
      <c r="A49" s="59"/>
      <c r="B49" s="59"/>
      <c r="C49" s="59"/>
      <c r="D49" s="59"/>
      <c r="E49" s="59"/>
      <c r="F49" s="59"/>
      <c r="G49" s="59"/>
      <c r="H49" s="59"/>
      <c r="I49" s="59"/>
      <c r="J49" s="59"/>
      <c r="K49" s="59"/>
      <c r="L49" s="59"/>
      <c r="M49" s="5"/>
      <c r="N49" s="5"/>
      <c r="O49" s="5"/>
      <c r="P49" s="5"/>
      <c r="Q49" s="5"/>
    </row>
    <row r="50" spans="1:17" x14ac:dyDescent="0.25">
      <c r="A50" s="59"/>
      <c r="B50" s="59"/>
      <c r="C50" s="59"/>
      <c r="D50" s="59"/>
      <c r="E50" s="59"/>
      <c r="F50" s="59"/>
      <c r="G50" s="59"/>
      <c r="H50" s="59"/>
      <c r="I50" s="59"/>
      <c r="J50" s="59"/>
      <c r="K50" s="59"/>
      <c r="L50" s="59"/>
      <c r="M50" s="5"/>
      <c r="N50" s="5"/>
      <c r="O50" s="5"/>
      <c r="P50" s="5"/>
      <c r="Q50" s="5"/>
    </row>
    <row r="51" spans="1:17" x14ac:dyDescent="0.25">
      <c r="A51" s="59"/>
      <c r="B51" s="59"/>
      <c r="C51" s="59"/>
      <c r="D51" s="59"/>
      <c r="E51" s="59"/>
      <c r="F51" s="59"/>
      <c r="G51" s="59"/>
      <c r="H51" s="59"/>
      <c r="I51" s="59"/>
      <c r="J51" s="59"/>
      <c r="K51" s="59"/>
      <c r="L51" s="59"/>
      <c r="M51" s="5"/>
      <c r="N51" s="5"/>
      <c r="O51" s="5"/>
      <c r="P51" s="5"/>
      <c r="Q51" s="5"/>
    </row>
    <row r="52" spans="1:17" ht="14.25" customHeight="1" x14ac:dyDescent="0.25">
      <c r="A52" s="59"/>
      <c r="B52" s="59"/>
      <c r="C52" s="59"/>
      <c r="D52" s="59"/>
      <c r="E52" s="59"/>
      <c r="F52" s="59"/>
      <c r="G52" s="59"/>
      <c r="H52" s="59"/>
      <c r="I52" s="59"/>
      <c r="J52" s="59"/>
      <c r="K52" s="59"/>
      <c r="L52" s="59"/>
      <c r="M52" s="5"/>
      <c r="N52" s="5"/>
      <c r="O52" s="5"/>
      <c r="P52" s="5"/>
      <c r="Q52" s="5"/>
    </row>
    <row r="53" spans="1:17" x14ac:dyDescent="0.25">
      <c r="A53" s="59"/>
      <c r="B53" s="59"/>
      <c r="C53" s="59"/>
      <c r="D53" s="59"/>
      <c r="E53" s="59"/>
      <c r="F53" s="59"/>
      <c r="G53" s="59"/>
      <c r="H53" s="59"/>
      <c r="I53" s="59"/>
      <c r="J53" s="59"/>
      <c r="K53" s="59"/>
      <c r="L53" s="59"/>
      <c r="M53" s="5"/>
      <c r="N53" s="5"/>
      <c r="O53" s="5"/>
      <c r="P53" s="5"/>
      <c r="Q53" s="5"/>
    </row>
    <row r="54" spans="1:17" x14ac:dyDescent="0.25">
      <c r="A54" s="59"/>
      <c r="B54" s="59"/>
      <c r="C54" s="59"/>
      <c r="D54" s="59"/>
      <c r="E54" s="59"/>
      <c r="F54" s="59"/>
      <c r="G54" s="59"/>
      <c r="H54" s="59"/>
      <c r="I54" s="59"/>
      <c r="J54" s="59"/>
      <c r="K54" s="59"/>
      <c r="L54" s="59"/>
    </row>
    <row r="56" spans="1:17" ht="15" customHeight="1" x14ac:dyDescent="0.25">
      <c r="A56" s="57" t="s">
        <v>47</v>
      </c>
      <c r="B56" s="57"/>
      <c r="C56" s="57"/>
      <c r="D56" s="57"/>
      <c r="E56" s="57"/>
      <c r="F56" s="57"/>
      <c r="G56" s="57"/>
      <c r="H56" s="57"/>
      <c r="I56" s="57"/>
      <c r="J56" s="57"/>
      <c r="K56" s="57"/>
      <c r="L56" s="57"/>
    </row>
    <row r="57" spans="1:17" x14ac:dyDescent="0.25">
      <c r="A57" s="57"/>
      <c r="B57" s="57"/>
      <c r="C57" s="57"/>
      <c r="D57" s="57"/>
      <c r="E57" s="57"/>
      <c r="F57" s="57"/>
      <c r="G57" s="57"/>
      <c r="H57" s="57"/>
      <c r="I57" s="57"/>
      <c r="J57" s="57"/>
      <c r="K57" s="57"/>
      <c r="L57" s="57"/>
    </row>
    <row r="58" spans="1:17" x14ac:dyDescent="0.25">
      <c r="A58" s="57"/>
      <c r="B58" s="57"/>
      <c r="C58" s="57"/>
      <c r="D58" s="57"/>
      <c r="E58" s="57"/>
      <c r="F58" s="57"/>
      <c r="G58" s="57"/>
      <c r="H58" s="57"/>
      <c r="I58" s="57"/>
      <c r="J58" s="57"/>
      <c r="K58" s="57"/>
      <c r="L58" s="57"/>
    </row>
    <row r="59" spans="1:17" x14ac:dyDescent="0.25">
      <c r="A59" s="57"/>
      <c r="B59" s="57"/>
      <c r="C59" s="57"/>
      <c r="D59" s="57"/>
      <c r="E59" s="57"/>
      <c r="F59" s="57"/>
      <c r="G59" s="57"/>
      <c r="H59" s="57"/>
      <c r="I59" s="57"/>
      <c r="J59" s="57"/>
      <c r="K59" s="57"/>
      <c r="L59" s="57"/>
    </row>
    <row r="65" s="44" customFormat="1" x14ac:dyDescent="0.25"/>
    <row r="66" s="44" customFormat="1" x14ac:dyDescent="0.25"/>
  </sheetData>
  <mergeCells count="27">
    <mergeCell ref="D11:F11"/>
    <mergeCell ref="G11:I11"/>
    <mergeCell ref="J11:L11"/>
    <mergeCell ref="B1:D1"/>
    <mergeCell ref="E1:G1"/>
    <mergeCell ref="I1:J1"/>
    <mergeCell ref="C2:D2"/>
    <mergeCell ref="E2:G2"/>
    <mergeCell ref="H2:I2"/>
    <mergeCell ref="C3:D3"/>
    <mergeCell ref="E3:G3"/>
    <mergeCell ref="H3:L4"/>
    <mergeCell ref="C4:D4"/>
    <mergeCell ref="G7:G9"/>
    <mergeCell ref="A24:B24"/>
    <mergeCell ref="J24:L24"/>
    <mergeCell ref="A27:A28"/>
    <mergeCell ref="B27:E28"/>
    <mergeCell ref="F27:K27"/>
    <mergeCell ref="H28:J28"/>
    <mergeCell ref="A56:L59"/>
    <mergeCell ref="H29:J29"/>
    <mergeCell ref="H30:J30"/>
    <mergeCell ref="C33:C34"/>
    <mergeCell ref="D33:D34"/>
    <mergeCell ref="A46:L46"/>
    <mergeCell ref="A48:L54"/>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workbookViewId="0">
      <selection activeCell="K7" sqref="K7"/>
    </sheetView>
  </sheetViews>
  <sheetFormatPr defaultRowHeight="15" x14ac:dyDescent="0.25"/>
  <cols>
    <col min="1" max="1" width="15.42578125" customWidth="1"/>
    <col min="5" max="5" width="9.140625" style="7"/>
    <col min="9" max="9" width="14" customWidth="1"/>
    <col min="10" max="10" width="16.85546875" customWidth="1"/>
    <col min="11" max="11" width="12" customWidth="1"/>
  </cols>
  <sheetData>
    <row r="1" spans="1:11" x14ac:dyDescent="0.25">
      <c r="A1" s="1" t="str">
        <f>+Sonuç!A35</f>
        <v>Sazan</v>
      </c>
      <c r="B1" s="19">
        <f>+SUMIFS(Sayfa2!$B$8:$B$17,Sayfa2!$A$8:$A$17,A1)</f>
        <v>1.25</v>
      </c>
      <c r="C1" s="19">
        <f>+SUMIFS(Sayfa2!$F$8:$F$17,Sayfa2!$E$8:$E$17,A1)</f>
        <v>3.4800000000000004</v>
      </c>
      <c r="D1" s="19">
        <f>+SUMIFS(Sayfa2!$J$8:$J$17,Sayfa2!$I$8:$I$17,A1)</f>
        <v>1.28</v>
      </c>
      <c r="E1" s="20">
        <f>+SUM(B1:D1)</f>
        <v>6.0100000000000007</v>
      </c>
      <c r="I1" t="str">
        <f>+Sonuç!A35</f>
        <v>Sazan</v>
      </c>
      <c r="J1" t="str">
        <f>+Sonuç!B35</f>
        <v>C.carpio</v>
      </c>
      <c r="K1" s="42">
        <f>+Sonuç!$K$29*Sonuç!D35*10</f>
        <v>16837.879939553735</v>
      </c>
    </row>
    <row r="2" spans="1:11" x14ac:dyDescent="0.25">
      <c r="A2" s="17" t="str">
        <f>+Sonuç!A36</f>
        <v>Yayın</v>
      </c>
      <c r="B2" s="19">
        <f>+SUMIFS(Sayfa2!$B$8:$B$17,Sayfa2!$A$8:$A$17,A2)</f>
        <v>0</v>
      </c>
      <c r="C2" s="19">
        <f>+SUMIFS(Sayfa2!$F$8:$F$17,Sayfa2!$E$8:$E$17,A2)</f>
        <v>0</v>
      </c>
      <c r="D2" s="19">
        <f>+SUMIFS(Sayfa2!$J$8:$J$17,Sayfa2!$I$8:$I$17,A2)</f>
        <v>0</v>
      </c>
      <c r="E2" s="20">
        <f t="shared" ref="E2:E3" si="0">+SUM(B2:D2)</f>
        <v>0</v>
      </c>
      <c r="I2" t="str">
        <f>+Sonuç!A36</f>
        <v>Yayın</v>
      </c>
      <c r="J2" t="str">
        <f>+Sonuç!B36</f>
        <v>S. glanis</v>
      </c>
      <c r="K2" s="42">
        <f>+Sonuç!$K$29*Sonuç!D36*10</f>
        <v>1717.5825919813856</v>
      </c>
    </row>
    <row r="3" spans="1:11" x14ac:dyDescent="0.25">
      <c r="A3" s="17" t="str">
        <f>+Sonuç!A37</f>
        <v>Sudak</v>
      </c>
      <c r="B3" s="19">
        <f>+SUMIFS(Sayfa2!$B$8:$B$17,Sayfa2!$A$8:$A$17,A3)</f>
        <v>0</v>
      </c>
      <c r="C3" s="19">
        <f>+SUMIFS(Sayfa2!$F$8:$F$17,Sayfa2!$E$8:$E$17,A3)</f>
        <v>2.1</v>
      </c>
      <c r="D3" s="19">
        <f>+SUMIFS(Sayfa2!$J$8:$J$17,Sayfa2!$I$8:$I$17,A3)</f>
        <v>0</v>
      </c>
      <c r="E3" s="20">
        <f t="shared" si="0"/>
        <v>2.1</v>
      </c>
      <c r="I3" t="str">
        <f>+Sonuç!A37</f>
        <v>Sudak</v>
      </c>
      <c r="J3" t="str">
        <f>+Sonuç!B37</f>
        <v>S. lucioperca</v>
      </c>
      <c r="K3" s="42">
        <f>+Sonuç!$K$29*Sonuç!D37*10</f>
        <v>3852.9555441744596</v>
      </c>
    </row>
    <row r="4" spans="1:11" x14ac:dyDescent="0.25">
      <c r="A4" s="17" t="str">
        <f>+Sonuç!A38</f>
        <v>Siraz</v>
      </c>
      <c r="B4" s="19">
        <f>+SUMIFS(Sayfa2!$B$8:$B$17,Sayfa2!$A$8:$A$17,A4)</f>
        <v>0.9</v>
      </c>
      <c r="C4" s="19">
        <f>+SUMIFS(Sayfa2!$F$8:$F$17,Sayfa2!$E$8:$E$17,A4)</f>
        <v>0.74</v>
      </c>
      <c r="D4" s="19">
        <f>+SUMIFS(Sayfa2!$J$8:$J$17,Sayfa2!$I$8:$I$17,A4)</f>
        <v>0.66</v>
      </c>
      <c r="E4" s="20">
        <f t="shared" ref="E4:E6" si="1">+SUM(B4:D4)</f>
        <v>2.3000000000000003</v>
      </c>
      <c r="I4" t="str">
        <f>+Sonuç!A38</f>
        <v>Siraz</v>
      </c>
      <c r="J4" t="str">
        <f>+Sonuç!B38</f>
        <v>Capoeta sp.</v>
      </c>
      <c r="K4" s="42">
        <f>+Sonuç!$K$29*Sonuç!D38*10</f>
        <v>5793.3596616020786</v>
      </c>
    </row>
    <row r="5" spans="1:11" x14ac:dyDescent="0.25">
      <c r="A5" s="17" t="str">
        <f>+Sonuç!A39</f>
        <v>Tatlısu kefali</v>
      </c>
      <c r="B5" s="19">
        <f>+SUMIFS(Sayfa2!$B$8:$B$17,Sayfa2!$A$8:$A$17,A5)</f>
        <v>0.57999999999999996</v>
      </c>
      <c r="C5" s="19">
        <f>+SUMIFS(Sayfa2!$F$8:$F$17,Sayfa2!$E$8:$E$17,A5)</f>
        <v>0</v>
      </c>
      <c r="D5" s="19">
        <f>+SUMIFS(Sayfa2!$J$8:$J$17,Sayfa2!$I$8:$I$17,A5)</f>
        <v>0</v>
      </c>
      <c r="E5" s="20">
        <f t="shared" si="1"/>
        <v>0.57999999999999996</v>
      </c>
      <c r="I5" t="str">
        <f>+Sonuç!A39</f>
        <v>Tatlısu kefali</v>
      </c>
      <c r="J5" t="str">
        <f>+Sonuç!B39</f>
        <v>S.cephalus</v>
      </c>
      <c r="K5" s="42">
        <f>+Sonuç!$K$29*Sonuç!D39*10</f>
        <v>2961.6694423895246</v>
      </c>
    </row>
    <row r="6" spans="1:11" x14ac:dyDescent="0.25">
      <c r="A6" s="17" t="str">
        <f>+Sonuç!A40</f>
        <v>Bıyıklı balık</v>
      </c>
      <c r="B6" s="19">
        <f>+SUMIFS(Sayfa2!$B$8:$B$17,Sayfa2!$A$8:$A$17,A6)</f>
        <v>0</v>
      </c>
      <c r="C6" s="19">
        <f>+SUMIFS(Sayfa2!$F$8:$F$17,Sayfa2!$E$8:$E$17,A6)</f>
        <v>0</v>
      </c>
      <c r="D6" s="19">
        <f>+SUMIFS(Sayfa2!$J$8:$J$17,Sayfa2!$I$8:$I$17,A6)</f>
        <v>0.56000000000000005</v>
      </c>
      <c r="E6" s="20">
        <f t="shared" si="1"/>
        <v>0.56000000000000005</v>
      </c>
      <c r="I6" t="str">
        <f>+Sonuç!A40</f>
        <v>Bıyıklı balık</v>
      </c>
      <c r="J6" t="str">
        <f>+Sonuç!B40</f>
        <v>Barbus sp.</v>
      </c>
      <c r="K6" s="42">
        <f>+Sonuç!$K$29*Sonuç!D40*10</f>
        <v>1466.9083758543727</v>
      </c>
    </row>
    <row r="7" spans="1:11" x14ac:dyDescent="0.25">
      <c r="A7" s="17" t="str">
        <f>+Sonuç!A41</f>
        <v>Kaya balığı</v>
      </c>
      <c r="B7" s="19">
        <f>+SUMIFS(Sayfa2!$B$8:$B$17,Sayfa2!$A$8:$A$17,A7)</f>
        <v>0</v>
      </c>
      <c r="C7" s="19">
        <f>+SUMIFS(Sayfa2!$F$8:$F$17,Sayfa2!$E$8:$E$17,A7)</f>
        <v>0</v>
      </c>
      <c r="D7" s="19">
        <f>+SUMIFS(Sayfa2!$J$8:$J$17,Sayfa2!$I$8:$I$17,A7)</f>
        <v>0</v>
      </c>
      <c r="E7" s="20">
        <f t="shared" ref="E7" si="2">+SUM(B7:D7)</f>
        <v>0</v>
      </c>
      <c r="I7" t="str">
        <f>+Sonuç!A41</f>
        <v>Kaya balığı</v>
      </c>
      <c r="J7" t="str">
        <f>+Sonuç!B41</f>
        <v>P.marmoratus</v>
      </c>
      <c r="K7" s="42">
        <f>+Sonuç!$K$29*Sonuç!D41*10</f>
        <v>0</v>
      </c>
    </row>
    <row r="8" spans="1:11" x14ac:dyDescent="0.25">
      <c r="A8" s="17"/>
      <c r="B8" s="19">
        <f>SUM(B1:B7)</f>
        <v>2.73</v>
      </c>
      <c r="C8" s="19">
        <f t="shared" ref="C8:E8" si="3">SUM(C1:C7)</f>
        <v>6.32</v>
      </c>
      <c r="D8" s="19">
        <f t="shared" si="3"/>
        <v>2.5</v>
      </c>
      <c r="E8" s="19">
        <f t="shared" si="3"/>
        <v>11.550000000000002</v>
      </c>
      <c r="K8" s="42">
        <f>SUM(K1:K7)</f>
        <v>32630.355555555558</v>
      </c>
    </row>
    <row r="9" spans="1:11" x14ac:dyDescent="0.25">
      <c r="A9" s="17"/>
      <c r="B9" s="19"/>
      <c r="C9" s="19"/>
      <c r="D9" s="19"/>
      <c r="E9" s="20"/>
    </row>
    <row r="10" spans="1:11" x14ac:dyDescent="0.25">
      <c r="B10" s="21"/>
      <c r="C10" s="21"/>
      <c r="D10" s="21"/>
      <c r="E10" s="20"/>
    </row>
    <row r="11" spans="1:11" x14ac:dyDescent="0.25">
      <c r="A11" s="1" t="str">
        <f>+A1</f>
        <v>Sazan</v>
      </c>
      <c r="B11" s="19">
        <f>+SUMIFS(Sayfa2!$B$26:$B$35,Sayfa2!$A$26:$A$35,A11)</f>
        <v>2.786</v>
      </c>
      <c r="C11" s="19">
        <f>+SUMIFS(Sayfa2!$F$26:$F$35,Sayfa2!$E$26:$E$35,A11)</f>
        <v>2.74</v>
      </c>
      <c r="D11" s="19">
        <f>+SUMIFS(Sayfa2!$J$26:$J$35,Sayfa2!$I$26:$I$35,A11)</f>
        <v>2.73</v>
      </c>
      <c r="E11" s="20">
        <f t="shared" ref="E11" si="4">+SUM(B11:D11)</f>
        <v>8.2560000000000002</v>
      </c>
    </row>
    <row r="12" spans="1:11" x14ac:dyDescent="0.25">
      <c r="A12" s="17" t="str">
        <f t="shared" ref="A12:A17" si="5">+A2</f>
        <v>Yayın</v>
      </c>
      <c r="B12" s="19">
        <f>+SUMIFS(Sayfa2!$B$26:$B$35,Sayfa2!$A$26:$A$35,A12)</f>
        <v>0</v>
      </c>
      <c r="C12" s="19">
        <f>+SUMIFS(Sayfa2!$F$26:$F$35,Sayfa2!$E$26:$E$35,A12)</f>
        <v>0</v>
      </c>
      <c r="D12" s="19">
        <f>+SUMIFS(Sayfa2!$J$26:$J$35,Sayfa2!$I$26:$I$35,A12)</f>
        <v>0</v>
      </c>
      <c r="E12" s="20">
        <f t="shared" ref="E12:E17" si="6">+SUM(B12:D12)</f>
        <v>0</v>
      </c>
    </row>
    <row r="13" spans="1:11" x14ac:dyDescent="0.25">
      <c r="A13" s="17" t="str">
        <f t="shared" si="5"/>
        <v>Sudak</v>
      </c>
      <c r="B13" s="19">
        <f>+SUMIFS(Sayfa2!$B$26:$B$35,Sayfa2!$A$26:$A$35,A13)</f>
        <v>0</v>
      </c>
      <c r="C13" s="19">
        <f>+SUMIFS(Sayfa2!$F$26:$F$35,Sayfa2!$E$26:$E$35,A13)</f>
        <v>0</v>
      </c>
      <c r="D13" s="19">
        <f>+SUMIFS(Sayfa2!$J$26:$J$35,Sayfa2!$I$26:$I$35,A13)</f>
        <v>2.0499999999999998</v>
      </c>
      <c r="E13" s="20">
        <f t="shared" si="6"/>
        <v>2.0499999999999998</v>
      </c>
    </row>
    <row r="14" spans="1:11" x14ac:dyDescent="0.25">
      <c r="A14" s="17" t="str">
        <f t="shared" si="5"/>
        <v>Siraz</v>
      </c>
      <c r="B14" s="19">
        <f>+SUMIFS(Sayfa2!$B$26:$B$35,Sayfa2!$A$26:$A$35,A14)</f>
        <v>0.9</v>
      </c>
      <c r="C14" s="19">
        <f>+SUMIFS(Sayfa2!$F$26:$F$35,Sayfa2!$E$26:$E$35,A14)</f>
        <v>0.92999999999999994</v>
      </c>
      <c r="D14" s="19">
        <f>+SUMIFS(Sayfa2!$J$26:$J$35,Sayfa2!$I$26:$I$35,A14)</f>
        <v>0.71</v>
      </c>
      <c r="E14" s="20">
        <f t="shared" si="6"/>
        <v>2.54</v>
      </c>
    </row>
    <row r="15" spans="1:11" x14ac:dyDescent="0.25">
      <c r="A15" s="17" t="str">
        <f t="shared" si="5"/>
        <v>Tatlısu kefali</v>
      </c>
      <c r="B15" s="19">
        <f>+SUMIFS(Sayfa2!$B$26:$B$35,Sayfa2!$A$26:$A$35,A15)</f>
        <v>0.63</v>
      </c>
      <c r="C15" s="19">
        <f>+SUMIFS(Sayfa2!$F$26:$F$35,Sayfa2!$E$26:$E$35,A15)</f>
        <v>0.6</v>
      </c>
      <c r="D15" s="19">
        <f>+SUMIFS(Sayfa2!$J$26:$J$35,Sayfa2!$I$26:$I$35,A15)</f>
        <v>0</v>
      </c>
      <c r="E15" s="20">
        <f t="shared" si="6"/>
        <v>1.23</v>
      </c>
    </row>
    <row r="16" spans="1:11" x14ac:dyDescent="0.25">
      <c r="A16" s="17" t="str">
        <f t="shared" si="5"/>
        <v>Bıyıklı balık</v>
      </c>
      <c r="B16" s="19">
        <f>+SUMIFS(Sayfa2!$B$26:$B$35,Sayfa2!$A$26:$A$35,A16)</f>
        <v>0</v>
      </c>
      <c r="C16" s="19">
        <f>+SUMIFS(Sayfa2!$F$26:$F$35,Sayfa2!$E$26:$E$35,A16)</f>
        <v>0</v>
      </c>
      <c r="D16" s="19">
        <f>+SUMIFS(Sayfa2!$J$26:$J$35,Sayfa2!$I$26:$I$35,A16)</f>
        <v>0.53</v>
      </c>
      <c r="E16" s="20">
        <f t="shared" si="6"/>
        <v>0.53</v>
      </c>
    </row>
    <row r="17" spans="1:5" x14ac:dyDescent="0.25">
      <c r="A17" s="17" t="str">
        <f t="shared" si="5"/>
        <v>Kaya balığı</v>
      </c>
      <c r="B17" s="19">
        <f>+SUMIFS(Sayfa2!$B$26:$B$35,Sayfa2!$A$26:$A$35,A17)</f>
        <v>0</v>
      </c>
      <c r="C17" s="19">
        <f>+SUMIFS(Sayfa2!$F$26:$F$35,Sayfa2!$E$26:$E$35,A17)</f>
        <v>0</v>
      </c>
      <c r="D17" s="19">
        <f>+SUMIFS(Sayfa2!$J$26:$J$35,Sayfa2!$I$26:$I$35,A17)</f>
        <v>0</v>
      </c>
      <c r="E17" s="20">
        <f t="shared" si="6"/>
        <v>0</v>
      </c>
    </row>
    <row r="18" spans="1:5" x14ac:dyDescent="0.25">
      <c r="B18" s="21">
        <f>SUM(B11:B17)</f>
        <v>4.3159999999999998</v>
      </c>
      <c r="C18" s="21">
        <f t="shared" ref="C18:E18" si="7">SUM(C11:C17)</f>
        <v>4.2699999999999996</v>
      </c>
      <c r="D18" s="21">
        <f t="shared" si="7"/>
        <v>6.02</v>
      </c>
      <c r="E18" s="21">
        <f t="shared" si="7"/>
        <v>14.606</v>
      </c>
    </row>
    <row r="19" spans="1:5" x14ac:dyDescent="0.25">
      <c r="B19" s="21"/>
      <c r="C19" s="21"/>
      <c r="D19" s="21"/>
      <c r="E19" s="20"/>
    </row>
    <row r="20" spans="1:5" x14ac:dyDescent="0.25">
      <c r="B20" s="21"/>
      <c r="C20" s="21"/>
      <c r="D20" s="21"/>
      <c r="E20" s="20"/>
    </row>
    <row r="21" spans="1:5" x14ac:dyDescent="0.25">
      <c r="A21" s="1" t="str">
        <f>+A11</f>
        <v>Sazan</v>
      </c>
      <c r="B21" s="19">
        <f>+SUMIFS(Sayfa2!$B$44:$B$53,Sayfa2!$A$44:$A$53,A21)</f>
        <v>1.31</v>
      </c>
      <c r="C21" s="19">
        <f>+SUMIFS(Sayfa2!$F$44:$F$53,Sayfa2!$E$44:$E$53,A21)</f>
        <v>1.31</v>
      </c>
      <c r="D21" s="19">
        <f>+SUMIFS(Sayfa2!$J$44:$J$53,Sayfa2!$I$44:$I$53,A21)</f>
        <v>1.25</v>
      </c>
      <c r="E21" s="20">
        <f>+SUM(B21:D21)</f>
        <v>3.87</v>
      </c>
    </row>
    <row r="22" spans="1:5" x14ac:dyDescent="0.25">
      <c r="A22" s="17" t="str">
        <f t="shared" ref="A22:A27" si="8">+A12</f>
        <v>Yayın</v>
      </c>
      <c r="B22" s="19">
        <f>+SUMIFS(Sayfa2!$B$44:$B$53,Sayfa2!$A$44:$A$53,A22)</f>
        <v>1.85</v>
      </c>
      <c r="C22" s="19">
        <f>+SUMIFS(Sayfa2!$F$44:$F$53,Sayfa2!$E$44:$E$53,A22)</f>
        <v>0</v>
      </c>
      <c r="D22" s="19">
        <f>+SUMIFS(Sayfa2!$J$44:$J$53,Sayfa2!$I$44:$I$53,A22)</f>
        <v>0</v>
      </c>
      <c r="E22" s="20">
        <f t="shared" ref="E22:E27" si="9">+SUM(B22:D22)</f>
        <v>1.85</v>
      </c>
    </row>
    <row r="23" spans="1:5" x14ac:dyDescent="0.25">
      <c r="A23" s="17" t="str">
        <f t="shared" si="8"/>
        <v>Sudak</v>
      </c>
      <c r="B23" s="19">
        <f>+SUMIFS(Sayfa2!$B$44:$B$53,Sayfa2!$A$44:$A$53,A23)</f>
        <v>0</v>
      </c>
      <c r="C23" s="19">
        <f>+SUMIFS(Sayfa2!$F$44:$F$53,Sayfa2!$E$44:$E$53,A23)</f>
        <v>0</v>
      </c>
      <c r="D23" s="19">
        <f>+SUMIFS(Sayfa2!$J$44:$J$53,Sayfa2!$I$44:$I$53,A23)</f>
        <v>0</v>
      </c>
      <c r="E23" s="20">
        <f t="shared" si="9"/>
        <v>0</v>
      </c>
    </row>
    <row r="24" spans="1:5" x14ac:dyDescent="0.25">
      <c r="A24" s="17" t="str">
        <f t="shared" si="8"/>
        <v>Siraz</v>
      </c>
      <c r="B24" s="19">
        <f>+SUMIFS(Sayfa2!$B$44:$B$53,Sayfa2!$A$44:$A$53,A24)</f>
        <v>0.47</v>
      </c>
      <c r="C24" s="19">
        <f>+SUMIFS(Sayfa2!$F$44:$F$53,Sayfa2!$E$44:$E$53,A24)</f>
        <v>0.45999999999999996</v>
      </c>
      <c r="D24" s="19">
        <f>+SUMIFS(Sayfa2!$J$44:$J$53,Sayfa2!$I$44:$I$53,A24)</f>
        <v>0.47</v>
      </c>
      <c r="E24" s="20">
        <f t="shared" si="9"/>
        <v>1.4</v>
      </c>
    </row>
    <row r="25" spans="1:5" x14ac:dyDescent="0.25">
      <c r="A25" s="17" t="str">
        <f t="shared" si="8"/>
        <v>Tatlısu kefali</v>
      </c>
      <c r="B25" s="19">
        <f>+SUMIFS(Sayfa2!$B$44:$B$53,Sayfa2!$A$44:$A$53,A25)</f>
        <v>0.66</v>
      </c>
      <c r="C25" s="19">
        <f>+SUMIFS(Sayfa2!$F$44:$F$53,Sayfa2!$E$44:$E$53,A25)</f>
        <v>0</v>
      </c>
      <c r="D25" s="19">
        <f>+SUMIFS(Sayfa2!$J$44:$J$53,Sayfa2!$I$44:$I$53,A25)</f>
        <v>0.72</v>
      </c>
      <c r="E25" s="20">
        <f t="shared" si="9"/>
        <v>1.38</v>
      </c>
    </row>
    <row r="26" spans="1:5" x14ac:dyDescent="0.25">
      <c r="A26" s="17" t="str">
        <f t="shared" si="8"/>
        <v>Bıyıklı balık</v>
      </c>
      <c r="B26" s="19">
        <f>+SUMIFS(Sayfa2!$B$44:$B$53,Sayfa2!$A$44:$A$53,A26)</f>
        <v>0</v>
      </c>
      <c r="C26" s="19">
        <f>+SUMIFS(Sayfa2!$F$44:$F$53,Sayfa2!$E$44:$E$53,A26)</f>
        <v>0.49</v>
      </c>
      <c r="D26" s="19">
        <f>+SUMIFS(Sayfa2!$J$44:$J$53,Sayfa2!$I$44:$I$53,A26)</f>
        <v>0</v>
      </c>
      <c r="E26" s="20">
        <f t="shared" si="9"/>
        <v>0.49</v>
      </c>
    </row>
    <row r="27" spans="1:5" x14ac:dyDescent="0.25">
      <c r="A27" s="17" t="str">
        <f t="shared" si="8"/>
        <v>Kaya balığı</v>
      </c>
      <c r="B27" s="19">
        <f>+SUMIFS(Sayfa2!$B$44:$B$53,Sayfa2!$A$44:$A$53,A27)</f>
        <v>0</v>
      </c>
      <c r="C27" s="19">
        <f>+SUMIFS(Sayfa2!$F$44:$F$53,Sayfa2!$E$44:$E$53,A27)</f>
        <v>0</v>
      </c>
      <c r="D27" s="19">
        <f>+SUMIFS(Sayfa2!$J$44:$J$53,Sayfa2!$I$44:$I$53,A27)</f>
        <v>0</v>
      </c>
      <c r="E27" s="20">
        <f t="shared" si="9"/>
        <v>0</v>
      </c>
    </row>
    <row r="28" spans="1:5" x14ac:dyDescent="0.25">
      <c r="B28" s="21">
        <f>SUM(B21:B27)</f>
        <v>4.29</v>
      </c>
      <c r="C28" s="21">
        <f t="shared" ref="C28" si="10">SUM(C21:C27)</f>
        <v>2.2599999999999998</v>
      </c>
      <c r="D28" s="21">
        <f t="shared" ref="D28" si="11">SUM(D21:D27)</f>
        <v>2.44</v>
      </c>
      <c r="E28" s="21">
        <f t="shared" ref="E28" si="12">SUM(E21:E27)</f>
        <v>8.99</v>
      </c>
    </row>
    <row r="29" spans="1:5" x14ac:dyDescent="0.25">
      <c r="E29" s="20">
        <f>+E8+E18+E28</f>
        <v>35.146000000000001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1</vt:i4>
      </vt:variant>
    </vt:vector>
  </HeadingPairs>
  <TitlesOfParts>
    <vt:vector size="5" baseType="lpstr">
      <vt:lpstr>Sayfa2</vt:lpstr>
      <vt:lpstr>Sonuç</vt:lpstr>
      <vt:lpstr>Sayfa1</vt:lpstr>
      <vt:lpstr>Sayfa4</vt:lpstr>
      <vt:lpstr>Sonuç!Yazdırma_Alanı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2026-08-13T05:50:22Z</dcterms:modified>
</cp:coreProperties>
</file>