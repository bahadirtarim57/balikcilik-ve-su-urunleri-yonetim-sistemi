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ok Çalışması\"/>
    </mc:Choice>
  </mc:AlternateContent>
  <bookViews>
    <workbookView xWindow="0" yWindow="0" windowWidth="24000" windowHeight="9750"/>
  </bookViews>
  <sheets>
    <sheet name="Avlak" sheetId="1" r:id="rId1"/>
  </sheets>
  <definedNames>
    <definedName name="_xlnm.Print_Area" localSheetId="0">Avlak!$A$57:$BA$107</definedName>
  </definedNames>
  <calcPr calcId="152511"/>
</workbook>
</file>

<file path=xl/calcChain.xml><?xml version="1.0" encoding="utf-8"?>
<calcChain xmlns="http://schemas.openxmlformats.org/spreadsheetml/2006/main">
  <c r="AH33" i="1" l="1"/>
  <c r="R23" i="1"/>
</calcChain>
</file>

<file path=xl/sharedStrings.xml><?xml version="1.0" encoding="utf-8"?>
<sst xmlns="http://schemas.openxmlformats.org/spreadsheetml/2006/main" count="145" uniqueCount="105">
  <si>
    <r>
      <rPr>
        <b/>
        <sz val="14"/>
        <color rgb="FF000000"/>
        <rFont val="Calibri"/>
        <family val="2"/>
        <charset val="162"/>
      </rPr>
      <t xml:space="preserve">SU ÜRÜNLERİ ÜRETİM YERİ (BARAJ GÖLÜ , GÖL) İSTİHSAL HAKKI
</t>
    </r>
    <r>
      <rPr>
        <b/>
        <sz val="14"/>
        <color rgb="FF000000"/>
        <rFont val="Calibri"/>
        <family val="2"/>
        <charset val="162"/>
      </rPr>
      <t xml:space="preserve"> KİRA TESPİTİ</t>
    </r>
  </si>
  <si>
    <t>AVLAK SAHASININ</t>
  </si>
  <si>
    <t>BULUNDUĞU İL</t>
  </si>
  <si>
    <t>SİNOP</t>
  </si>
  <si>
    <t>DURAĞAN</t>
  </si>
  <si>
    <t>İLÇE</t>
  </si>
  <si>
    <t>BÖLGE  ADI</t>
  </si>
  <si>
    <t>1- GELİRLER</t>
  </si>
  <si>
    <t>Türü / Latince Adı</t>
  </si>
  <si>
    <t>Stok Miktari (kg)</t>
  </si>
  <si>
    <t>Birim Fiyati (TL/Kg)</t>
  </si>
  <si>
    <t>Tutarı (TL)</t>
  </si>
  <si>
    <t>Siraz (Capoeta tinca)</t>
  </si>
  <si>
    <t>10,00</t>
  </si>
  <si>
    <t>12.760,00</t>
  </si>
  <si>
    <t>Bıyıklı Balık (Barbus barbus)</t>
  </si>
  <si>
    <t>7,00</t>
  </si>
  <si>
    <t>2.261,00</t>
  </si>
  <si>
    <t>Sudak (Stizostedion lucioperca)</t>
  </si>
  <si>
    <t>23,00</t>
  </si>
  <si>
    <t>19.504,00</t>
  </si>
  <si>
    <t>Tatlı Su Kefali (Squalis cephalus)</t>
  </si>
  <si>
    <t>20,00</t>
  </si>
  <si>
    <t>13.040,00</t>
  </si>
  <si>
    <t>Sazan (Cyprinus carpio)</t>
  </si>
  <si>
    <t>16,00</t>
  </si>
  <si>
    <t>59.328,00</t>
  </si>
  <si>
    <t>Gümüşi Havuz Balığı (Carassius gibelio, Carassius carassius)</t>
  </si>
  <si>
    <t>13.538,00</t>
  </si>
  <si>
    <t>Yayın (Silurus glanis)</t>
  </si>
  <si>
    <t>21,00</t>
  </si>
  <si>
    <t>7.938,00</t>
  </si>
  <si>
    <t>Toplam</t>
  </si>
  <si>
    <t/>
  </si>
  <si>
    <t>128.369,00</t>
  </si>
  <si>
    <t>2- YATIRIM GİDERLERİ</t>
  </si>
  <si>
    <t>Yatırımın Cinsi</t>
  </si>
  <si>
    <t>Miktarı</t>
  </si>
  <si>
    <t>Birim Fiyatı (TL)</t>
  </si>
  <si>
    <t>Motorlu Tekne</t>
  </si>
  <si>
    <t>3</t>
  </si>
  <si>
    <t>Motorsuz Tekne</t>
  </si>
  <si>
    <t>Pinter-Sepet</t>
  </si>
  <si>
    <t>Ağ(Takım)</t>
  </si>
  <si>
    <t>6</t>
  </si>
  <si>
    <t>Diğer</t>
  </si>
  <si>
    <t>3- İŞLETME GİDERLERİ</t>
  </si>
  <si>
    <t>a) Personel Giderleri</t>
  </si>
  <si>
    <t>Personel</t>
  </si>
  <si>
    <t>Adedi</t>
  </si>
  <si>
    <t>Çalıştığı Süre (Ay)</t>
  </si>
  <si>
    <t>Aylığı (TL)</t>
  </si>
  <si>
    <t>Tutar (TL)</t>
  </si>
  <si>
    <t>Balıkçı</t>
  </si>
  <si>
    <t>4</t>
  </si>
  <si>
    <t>İşçi</t>
  </si>
  <si>
    <t>b) Akaryakıt Giderleri</t>
  </si>
  <si>
    <t>Yıllık Avlanma Günü</t>
  </si>
  <si>
    <t>Tekne Sayısı</t>
  </si>
  <si>
    <t>Günde Harcanan Yakıt (Lt)</t>
  </si>
  <si>
    <t>Yakıt Litre Fiyatı (TL)</t>
  </si>
  <si>
    <t>240</t>
  </si>
  <si>
    <t>9.7</t>
  </si>
  <si>
    <t>20.952,00</t>
  </si>
  <si>
    <t>c) Pazarlama Giderleri</t>
  </si>
  <si>
    <t>Toplam Gelirler</t>
  </si>
  <si>
    <t>Gider Oranı (%)</t>
  </si>
  <si>
    <t>0.03</t>
  </si>
  <si>
    <t>d) Amortisman Giderleri</t>
  </si>
  <si>
    <t>Yatırımın Gideri (TL)</t>
  </si>
  <si>
    <t>Kullanım Ömrü</t>
  </si>
  <si>
    <t>25</t>
  </si>
  <si>
    <t>3.000,00</t>
  </si>
  <si>
    <t>2</t>
  </si>
  <si>
    <t>6.750,00</t>
  </si>
  <si>
    <t>9.750,00</t>
  </si>
  <si>
    <t>e) Beklenmeyen Giderler</t>
  </si>
  <si>
    <t>Yatırım Giderleri</t>
  </si>
  <si>
    <t>TOPLAM YILLIK İŞLETME GİDERLERİ :</t>
  </si>
  <si>
    <t>Giderin Nevi</t>
  </si>
  <si>
    <t>Personel Giderleri</t>
  </si>
  <si>
    <t>Akaryakıt Giderleri</t>
  </si>
  <si>
    <t>Pazarlama Giderleri</t>
  </si>
  <si>
    <t>Amortisman Giderleri</t>
  </si>
  <si>
    <t>Beklenmeyen Giderler</t>
  </si>
  <si>
    <t>4. YILLIK MUHAMMEN  KİRA BEDELİ</t>
  </si>
  <si>
    <t>Toplam Yıllık Gelirler</t>
  </si>
  <si>
    <t>Toplam Yıllık İşletme Giderleri</t>
  </si>
  <si>
    <t>Yıllık Gelir - Gider Farkı</t>
  </si>
  <si>
    <t>Muhammen Kira Bedeli</t>
  </si>
  <si>
    <t>Yıllık Gelir-Gider Farkı</t>
  </si>
  <si>
    <t>Kira Oranı (%)</t>
  </si>
  <si>
    <t>%30</t>
  </si>
  <si>
    <t xml:space="preserve">               Komisyonumuzca yukarıda belirtilen hususlar göz önünde bulundurularak yapılan değerlendirme sonucunda ; su ürünleri istihsal sahası yıllık kira bedeline göre toplam 6.211,78 TL muhammen kira bedeli takdirine oybirliği ile karar verilmiştir.</t>
  </si>
  <si>
    <t>Ahmet TAM</t>
  </si>
  <si>
    <t xml:space="preserve">Başkan </t>
  </si>
  <si>
    <t>Üye</t>
  </si>
  <si>
    <t>Yakup AYAR</t>
  </si>
  <si>
    <t>Tülin ERDEM</t>
  </si>
  <si>
    <t>İl Müdürü Y.</t>
  </si>
  <si>
    <t>İMİ Şube Müdürü</t>
  </si>
  <si>
    <t>BSÜ Şube Müdür V.</t>
  </si>
  <si>
    <t>Bahadır ŞENOĞLU</t>
  </si>
  <si>
    <t>Ümit YILDIRIM</t>
  </si>
  <si>
    <t>Su Ürünleri Müh.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</si>
</sst>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162"/>
    </font>
    <font>
      <b/>
      <sz val="14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>
      <alignment readingOrder="1"/>
    </xf>
    <xf numFmtId="4" fontId="1" fillId="0" borderId="0" xfId="0" applyNumberFormat="1" applyFont="1" applyFill="1" applyBorder="1" applyAlignment="1">
      <alignment horizontal="right" indent="3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Font="1" applyFill="1" applyBorder="1"/>
    <xf numFmtId="4" fontId="5" fillId="0" borderId="1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4" fontId="5" fillId="0" borderId="7" xfId="0" applyNumberFormat="1" applyFont="1" applyFill="1" applyBorder="1" applyAlignment="1">
      <alignment horizontal="center" vertical="top" wrapText="1" readingOrder="1"/>
    </xf>
    <xf numFmtId="0" fontId="1" fillId="0" borderId="8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0" borderId="7" xfId="0" applyFont="1" applyFill="1" applyBorder="1"/>
    <xf numFmtId="0" fontId="1" fillId="0" borderId="2" xfId="0" applyFont="1" applyFill="1" applyBorder="1"/>
    <xf numFmtId="0" fontId="4" fillId="0" borderId="3" xfId="0" applyNumberFormat="1" applyFont="1" applyFill="1" applyBorder="1" applyAlignment="1">
      <alignment horizontal="center" vertical="top" wrapText="1" readingOrder="1"/>
    </xf>
    <xf numFmtId="0" fontId="6" fillId="0" borderId="8" xfId="0" applyNumberFormat="1" applyFont="1" applyFill="1" applyBorder="1" applyAlignment="1">
      <alignment horizontal="center" vertical="top" wrapText="1" readingOrder="1"/>
    </xf>
    <xf numFmtId="4" fontId="5" fillId="0" borderId="8" xfId="0" applyNumberFormat="1" applyFont="1" applyFill="1" applyBorder="1" applyAlignment="1">
      <alignment horizontal="center" vertical="top" wrapText="1" readingOrder="1"/>
    </xf>
    <xf numFmtId="4" fontId="1" fillId="0" borderId="8" xfId="0" applyNumberFormat="1" applyFont="1" applyFill="1" applyBorder="1"/>
    <xf numFmtId="4" fontId="1" fillId="0" borderId="9" xfId="0" applyNumberFormat="1" applyFont="1" applyFill="1" applyBorder="1"/>
    <xf numFmtId="0" fontId="4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4" fontId="1" fillId="0" borderId="1" xfId="0" applyNumberFormat="1" applyFont="1" applyFill="1" applyBorder="1" applyAlignment="1">
      <alignment vertical="top" wrapText="1"/>
    </xf>
    <xf numFmtId="4" fontId="5" fillId="0" borderId="1" xfId="0" applyNumberFormat="1" applyFont="1" applyFill="1" applyBorder="1" applyAlignment="1">
      <alignment horizontal="right" vertical="top" wrapText="1" indent="2" readingOrder="1"/>
    </xf>
    <xf numFmtId="4" fontId="1" fillId="0" borderId="1" xfId="0" applyNumberFormat="1" applyFont="1" applyFill="1" applyBorder="1" applyAlignment="1">
      <alignment horizontal="right" vertical="top" wrapText="1" indent="2"/>
    </xf>
    <xf numFmtId="0" fontId="5" fillId="0" borderId="1" xfId="0" applyNumberFormat="1" applyFont="1" applyFill="1" applyBorder="1" applyAlignment="1">
      <alignment horizontal="left" vertical="top" wrapText="1" indent="1" readingOrder="1"/>
    </xf>
    <xf numFmtId="0" fontId="1" fillId="0" borderId="1" xfId="0" applyNumberFormat="1" applyFont="1" applyFill="1" applyBorder="1" applyAlignment="1">
      <alignment horizontal="left" vertical="top" wrapText="1" indent="1"/>
    </xf>
    <xf numFmtId="4" fontId="1" fillId="0" borderId="1" xfId="0" applyNumberFormat="1" applyFont="1" applyFill="1" applyBorder="1" applyAlignment="1">
      <alignment horizontal="right" indent="2"/>
    </xf>
    <xf numFmtId="3" fontId="5" fillId="0" borderId="1" xfId="0" applyNumberFormat="1" applyFont="1" applyFill="1" applyBorder="1" applyAlignment="1">
      <alignment horizontal="right" vertical="top" wrapText="1" indent="3" readingOrder="1"/>
    </xf>
    <xf numFmtId="3" fontId="1" fillId="0" borderId="1" xfId="0" applyNumberFormat="1" applyFont="1" applyFill="1" applyBorder="1" applyAlignment="1">
      <alignment horizontal="right" vertical="top" wrapText="1" indent="3"/>
    </xf>
    <xf numFmtId="0" fontId="5" fillId="0" borderId="1" xfId="0" applyNumberFormat="1" applyFont="1" applyFill="1" applyBorder="1" applyAlignment="1">
      <alignment horizontal="right" vertical="top" wrapText="1" indent="3" readingOrder="1"/>
    </xf>
    <xf numFmtId="0" fontId="1" fillId="0" borderId="1" xfId="0" applyNumberFormat="1" applyFont="1" applyFill="1" applyBorder="1" applyAlignment="1">
      <alignment horizontal="right" vertical="top" wrapText="1" indent="3"/>
    </xf>
    <xf numFmtId="0" fontId="1" fillId="0" borderId="0" xfId="0" applyFont="1" applyFill="1" applyBorder="1" applyAlignment="1"/>
    <xf numFmtId="0" fontId="4" fillId="0" borderId="0" xfId="0" applyNumberFormat="1" applyFont="1" applyFill="1" applyBorder="1" applyAlignment="1">
      <alignment horizontal="left" vertical="top" wrapText="1" readingOrder="1"/>
    </xf>
    <xf numFmtId="0" fontId="1" fillId="0" borderId="10" xfId="0" applyFont="1" applyFill="1" applyBorder="1"/>
    <xf numFmtId="0" fontId="1" fillId="0" borderId="11" xfId="0" applyFont="1" applyFill="1" applyBorder="1"/>
    <xf numFmtId="0" fontId="3" fillId="0" borderId="11" xfId="0" applyNumberFormat="1" applyFont="1" applyFill="1" applyBorder="1" applyAlignment="1">
      <alignment vertical="top" wrapText="1" readingOrder="1"/>
    </xf>
    <xf numFmtId="0" fontId="1" fillId="0" borderId="11" xfId="0" applyFont="1" applyFill="1" applyBorder="1"/>
    <xf numFmtId="0" fontId="1" fillId="0" borderId="12" xfId="0" applyFont="1" applyFill="1" applyBorder="1"/>
    <xf numFmtId="4" fontId="5" fillId="0" borderId="8" xfId="0" applyNumberFormat="1" applyFont="1" applyFill="1" applyBorder="1" applyAlignment="1">
      <alignment horizontal="right" vertical="top" wrapText="1" indent="3" readingOrder="1"/>
    </xf>
    <xf numFmtId="4" fontId="1" fillId="0" borderId="8" xfId="0" applyNumberFormat="1" applyFont="1" applyFill="1" applyBorder="1" applyAlignment="1">
      <alignment horizontal="right" indent="3"/>
    </xf>
    <xf numFmtId="4" fontId="1" fillId="0" borderId="8" xfId="0" applyNumberFormat="1" applyFont="1" applyFill="1" applyBorder="1" applyAlignment="1">
      <alignment horizontal="right" indent="3"/>
    </xf>
    <xf numFmtId="0" fontId="1" fillId="0" borderId="12" xfId="0" applyFont="1" applyFill="1" applyBorder="1"/>
    <xf numFmtId="0" fontId="3" fillId="0" borderId="10" xfId="0" applyNumberFormat="1" applyFont="1" applyFill="1" applyBorder="1" applyAlignment="1">
      <alignment vertical="top" wrapText="1" readingOrder="1"/>
    </xf>
    <xf numFmtId="0" fontId="5" fillId="0" borderId="7" xfId="0" applyNumberFormat="1" applyFont="1" applyFill="1" applyBorder="1" applyAlignment="1">
      <alignment vertical="top" wrapText="1" readingOrder="1"/>
    </xf>
    <xf numFmtId="0" fontId="3" fillId="0" borderId="7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>
      <alignment horizontal="right" indent="3"/>
    </xf>
    <xf numFmtId="4" fontId="5" fillId="0" borderId="10" xfId="0" applyNumberFormat="1" applyFont="1" applyFill="1" applyBorder="1" applyAlignment="1">
      <alignment horizontal="right" vertical="top" wrapText="1" indent="3" readingOrder="1"/>
    </xf>
    <xf numFmtId="0" fontId="1" fillId="0" borderId="11" xfId="0" applyFont="1" applyFill="1" applyBorder="1" applyAlignment="1">
      <alignment horizontal="right" indent="3"/>
    </xf>
    <xf numFmtId="0" fontId="1" fillId="0" borderId="12" xfId="0" applyFont="1" applyFill="1" applyBorder="1" applyAlignment="1">
      <alignment horizontal="right" indent="3"/>
    </xf>
    <xf numFmtId="0" fontId="1" fillId="0" borderId="5" xfId="0" applyFont="1" applyFill="1" applyBorder="1" applyAlignment="1">
      <alignment horizontal="right" indent="3"/>
    </xf>
    <xf numFmtId="0" fontId="1" fillId="0" borderId="6" xfId="0" applyFont="1" applyFill="1" applyBorder="1" applyAlignment="1">
      <alignment horizontal="right" indent="3"/>
    </xf>
    <xf numFmtId="4" fontId="5" fillId="0" borderId="7" xfId="0" applyNumberFormat="1" applyFont="1" applyFill="1" applyBorder="1" applyAlignment="1">
      <alignment horizontal="right" vertical="top" wrapText="1" indent="3" readingOrder="1"/>
    </xf>
    <xf numFmtId="0" fontId="1" fillId="0" borderId="8" xfId="0" applyFont="1" applyFill="1" applyBorder="1" applyAlignment="1">
      <alignment horizontal="right" indent="3"/>
    </xf>
    <xf numFmtId="0" fontId="1" fillId="0" borderId="9" xfId="0" applyFont="1" applyFill="1" applyBorder="1" applyAlignment="1">
      <alignment horizontal="right" indent="3"/>
    </xf>
    <xf numFmtId="0" fontId="5" fillId="0" borderId="1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0" fontId="4" fillId="0" borderId="5" xfId="0" applyNumberFormat="1" applyFont="1" applyFill="1" applyBorder="1" applyAlignment="1">
      <alignment horizontal="center" vertical="center" wrapText="1" readingOrder="1"/>
    </xf>
    <xf numFmtId="0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7" xfId="0" applyNumberFormat="1" applyFont="1" applyFill="1" applyBorder="1" applyAlignment="1">
      <alignment horizontal="center" vertical="center" wrapText="1" readingOrder="1"/>
    </xf>
    <xf numFmtId="0" fontId="4" fillId="0" borderId="8" xfId="0" applyNumberFormat="1" applyFont="1" applyFill="1" applyBorder="1" applyAlignment="1">
      <alignment horizontal="center" vertical="center" wrapText="1" readingOrder="1"/>
    </xf>
    <xf numFmtId="0" fontId="4" fillId="0" borderId="9" xfId="0" applyNumberFormat="1" applyFont="1" applyFill="1" applyBorder="1" applyAlignment="1">
      <alignment horizontal="center" vertical="center" wrapText="1" readingOrder="1"/>
    </xf>
    <xf numFmtId="0" fontId="4" fillId="0" borderId="11" xfId="0" applyNumberFormat="1" applyFont="1" applyFill="1" applyBorder="1" applyAlignment="1">
      <alignment vertical="top" wrapText="1" readingOrder="1"/>
    </xf>
    <xf numFmtId="0" fontId="1" fillId="0" borderId="9" xfId="0" applyFont="1" applyFill="1" applyBorder="1"/>
    <xf numFmtId="0" fontId="5" fillId="0" borderId="0" xfId="0" applyNumberFormat="1" applyFont="1" applyFill="1" applyBorder="1" applyAlignment="1">
      <alignment horizontal="justify" vertical="top" wrapText="1" readingOrder="1"/>
    </xf>
    <xf numFmtId="0" fontId="1" fillId="0" borderId="0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justify" vertical="top" wrapText="1" readingOrder="1"/>
    </xf>
    <xf numFmtId="0" fontId="4" fillId="0" borderId="10" xfId="0" applyNumberFormat="1" applyFont="1" applyFill="1" applyBorder="1" applyAlignment="1">
      <alignment horizontal="center" vertical="top" wrapText="1" readingOrder="1"/>
    </xf>
    <xf numFmtId="0" fontId="5" fillId="0" borderId="7" xfId="0" applyNumberFormat="1" applyFont="1" applyFill="1" applyBorder="1" applyAlignment="1">
      <alignment horizontal="center" vertical="top" wrapText="1" readingOrder="1"/>
    </xf>
    <xf numFmtId="0" fontId="4" fillId="0" borderId="1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06"/>
  <sheetViews>
    <sheetView showGridLines="0" tabSelected="1" topLeftCell="A37" workbookViewId="0">
      <selection activeCell="AZ62" sqref="AZ62"/>
    </sheetView>
  </sheetViews>
  <sheetFormatPr defaultRowHeight="15" x14ac:dyDescent="0.25"/>
  <cols>
    <col min="1" max="1" width="13.42578125" customWidth="1"/>
    <col min="2" max="2" width="1.85546875" customWidth="1"/>
    <col min="3" max="3" width="2.5703125" customWidth="1"/>
    <col min="4" max="4" width="0.85546875" customWidth="1"/>
    <col min="5" max="5" width="2.5703125" customWidth="1"/>
    <col min="6" max="6" width="0.7109375" customWidth="1"/>
    <col min="7" max="7" width="0.28515625" customWidth="1"/>
    <col min="8" max="8" width="0.42578125" customWidth="1"/>
    <col min="9" max="9" width="1" customWidth="1"/>
    <col min="10" max="10" width="0.7109375" customWidth="1"/>
    <col min="11" max="11" width="1.42578125" customWidth="1"/>
    <col min="12" max="12" width="0.42578125" customWidth="1"/>
    <col min="13" max="13" width="0.85546875" customWidth="1"/>
    <col min="14" max="14" width="0.28515625" customWidth="1"/>
    <col min="15" max="15" width="1" customWidth="1"/>
    <col min="16" max="16" width="2.28515625" customWidth="1"/>
    <col min="17" max="17" width="2" customWidth="1"/>
    <col min="18" max="18" width="1.140625" customWidth="1"/>
    <col min="19" max="19" width="0" hidden="1" customWidth="1"/>
    <col min="20" max="21" width="1" customWidth="1"/>
    <col min="22" max="22" width="2.5703125" customWidth="1"/>
    <col min="23" max="23" width="4.140625" customWidth="1"/>
    <col min="24" max="24" width="1.140625" customWidth="1"/>
    <col min="25" max="25" width="2.42578125" customWidth="1"/>
    <col min="26" max="26" width="0.5703125" customWidth="1"/>
    <col min="27" max="27" width="0.28515625" customWidth="1"/>
    <col min="28" max="28" width="1.28515625" customWidth="1"/>
    <col min="29" max="29" width="0.28515625" customWidth="1"/>
    <col min="30" max="30" width="0.140625" customWidth="1"/>
    <col min="31" max="31" width="2.42578125" customWidth="1"/>
    <col min="32" max="32" width="0.7109375" customWidth="1"/>
    <col min="33" max="33" width="0" hidden="1" customWidth="1"/>
    <col min="34" max="34" width="3" customWidth="1"/>
    <col min="35" max="35" width="0.7109375" customWidth="1"/>
    <col min="36" max="36" width="4.7109375" customWidth="1"/>
    <col min="37" max="37" width="2.5703125" customWidth="1"/>
    <col min="38" max="38" width="2.42578125" customWidth="1"/>
    <col min="39" max="39" width="0" hidden="1" customWidth="1"/>
    <col min="40" max="40" width="1.85546875" customWidth="1"/>
    <col min="41" max="41" width="0" hidden="1" customWidth="1"/>
    <col min="42" max="42" width="0.28515625" customWidth="1"/>
    <col min="43" max="43" width="1.7109375" customWidth="1"/>
    <col min="44" max="44" width="3.5703125" customWidth="1"/>
    <col min="45" max="45" width="1.140625" customWidth="1"/>
    <col min="46" max="46" width="0" hidden="1" customWidth="1"/>
    <col min="47" max="47" width="1.85546875" customWidth="1"/>
    <col min="48" max="48" width="8.28515625" customWidth="1"/>
    <col min="49" max="49" width="0" hidden="1" customWidth="1"/>
    <col min="50" max="50" width="1.7109375" customWidth="1"/>
    <col min="51" max="51" width="3.42578125" customWidth="1"/>
    <col min="52" max="52" width="8.28515625" customWidth="1"/>
    <col min="53" max="53" width="3.140625" customWidth="1"/>
    <col min="54" max="54" width="3.42578125" customWidth="1"/>
    <col min="92" max="92" width="9.140625" customWidth="1"/>
  </cols>
  <sheetData>
    <row r="1" spans="1:54" ht="45.4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6"/>
    </row>
    <row r="2" spans="1:54" ht="14.65" customHeight="1" x14ac:dyDescent="0.25"/>
    <row r="3" spans="1:54" ht="19.350000000000001" customHeight="1" x14ac:dyDescent="0.25">
      <c r="A3" s="3" t="s">
        <v>1</v>
      </c>
      <c r="B3" s="2"/>
      <c r="C3" s="2"/>
      <c r="D3" s="2"/>
      <c r="E3" s="2"/>
      <c r="F3" s="2"/>
      <c r="G3" s="2"/>
      <c r="H3" s="2"/>
    </row>
    <row r="4" spans="1:54" ht="5.0999999999999996" customHeight="1" x14ac:dyDescent="0.25"/>
    <row r="5" spans="1:54" x14ac:dyDescent="0.25">
      <c r="A5" s="4" t="s">
        <v>2</v>
      </c>
      <c r="B5" s="2"/>
      <c r="C5" s="2"/>
      <c r="D5" s="2"/>
      <c r="E5" s="2"/>
      <c r="H5" s="5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54" x14ac:dyDescent="0.25"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54" ht="2.85" customHeight="1" x14ac:dyDescent="0.25"/>
    <row r="8" spans="1:54" x14ac:dyDescent="0.25">
      <c r="A8" s="43" t="s">
        <v>5</v>
      </c>
      <c r="B8" s="43"/>
      <c r="C8" s="43"/>
      <c r="D8" s="43"/>
      <c r="E8" s="43"/>
      <c r="H8" s="5" t="s">
        <v>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54" x14ac:dyDescent="0.25">
      <c r="A9" s="43"/>
      <c r="B9" s="43"/>
      <c r="C9" s="43"/>
      <c r="D9" s="43"/>
      <c r="E9" s="4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54" ht="3.95" customHeight="1" x14ac:dyDescent="0.25"/>
    <row r="11" spans="1:54" ht="17.100000000000001" customHeight="1" x14ac:dyDescent="0.25">
      <c r="A11" s="4" t="s">
        <v>6</v>
      </c>
      <c r="B11" s="2"/>
      <c r="C11" s="2"/>
      <c r="D11" s="2"/>
      <c r="E11" s="2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54" ht="11.85" customHeight="1" x14ac:dyDescent="0.25"/>
    <row r="13" spans="1:54" ht="20.100000000000001" customHeight="1" x14ac:dyDescent="0.25">
      <c r="A13" s="3" t="s">
        <v>7</v>
      </c>
      <c r="B13" s="2"/>
      <c r="C13" s="2"/>
      <c r="D13" s="2"/>
      <c r="E13" s="2"/>
      <c r="F13" s="2"/>
      <c r="G13" s="2"/>
      <c r="H13" s="2"/>
    </row>
    <row r="14" spans="1:54" ht="5.45" customHeight="1" x14ac:dyDescent="0.25"/>
    <row r="15" spans="1:54" ht="17.100000000000001" customHeight="1" x14ac:dyDescent="0.25">
      <c r="A15" s="8" t="s">
        <v>8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8" t="s">
        <v>9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8" t="s">
        <v>10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8" t="s">
        <v>11</v>
      </c>
      <c r="AS15" s="29"/>
      <c r="AT15" s="29"/>
      <c r="AU15" s="29"/>
      <c r="AV15" s="29"/>
      <c r="AW15" s="29"/>
      <c r="AX15" s="29"/>
    </row>
    <row r="16" spans="1:54" ht="17.100000000000001" customHeight="1" x14ac:dyDescent="0.25">
      <c r="A16" s="35" t="s">
        <v>12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8">
        <v>1276</v>
      </c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40" t="s">
        <v>13</v>
      </c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0" t="s">
        <v>14</v>
      </c>
      <c r="AS16" s="41"/>
      <c r="AT16" s="41"/>
      <c r="AU16" s="41"/>
      <c r="AV16" s="41"/>
      <c r="AW16" s="41"/>
      <c r="AX16" s="41"/>
    </row>
    <row r="17" spans="1:50" ht="17.100000000000001" customHeight="1" x14ac:dyDescent="0.25">
      <c r="A17" s="35" t="s">
        <v>15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8">
        <v>323</v>
      </c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40" t="s">
        <v>16</v>
      </c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0" t="s">
        <v>17</v>
      </c>
      <c r="AS17" s="41"/>
      <c r="AT17" s="41"/>
      <c r="AU17" s="41"/>
      <c r="AV17" s="41"/>
      <c r="AW17" s="41"/>
      <c r="AX17" s="41"/>
    </row>
    <row r="18" spans="1:50" ht="17.100000000000001" customHeight="1" x14ac:dyDescent="0.25">
      <c r="A18" s="35" t="s">
        <v>18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8">
        <v>848</v>
      </c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40" t="s">
        <v>19</v>
      </c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0" t="s">
        <v>20</v>
      </c>
      <c r="AS18" s="41"/>
      <c r="AT18" s="41"/>
      <c r="AU18" s="41"/>
      <c r="AV18" s="41"/>
      <c r="AW18" s="41"/>
      <c r="AX18" s="41"/>
    </row>
    <row r="19" spans="1:50" ht="17.100000000000001" customHeight="1" x14ac:dyDescent="0.25">
      <c r="A19" s="35" t="s">
        <v>21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8">
        <v>652</v>
      </c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40" t="s">
        <v>22</v>
      </c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0" t="s">
        <v>23</v>
      </c>
      <c r="AS19" s="41"/>
      <c r="AT19" s="41"/>
      <c r="AU19" s="41"/>
      <c r="AV19" s="41"/>
      <c r="AW19" s="41"/>
      <c r="AX19" s="41"/>
    </row>
    <row r="20" spans="1:50" ht="17.100000000000001" customHeight="1" x14ac:dyDescent="0.25">
      <c r="A20" s="35" t="s">
        <v>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8">
        <v>3708</v>
      </c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40" t="s">
        <v>25</v>
      </c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0" t="s">
        <v>26</v>
      </c>
      <c r="AS20" s="41"/>
      <c r="AT20" s="41"/>
      <c r="AU20" s="41"/>
      <c r="AV20" s="41"/>
      <c r="AW20" s="41"/>
      <c r="AX20" s="41"/>
    </row>
    <row r="21" spans="1:50" ht="17.100000000000001" customHeight="1" x14ac:dyDescent="0.25">
      <c r="A21" s="35" t="s">
        <v>27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8">
        <v>1934</v>
      </c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40" t="s">
        <v>16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0" t="s">
        <v>28</v>
      </c>
      <c r="AS21" s="41"/>
      <c r="AT21" s="41"/>
      <c r="AU21" s="41"/>
      <c r="AV21" s="41"/>
      <c r="AW21" s="41"/>
      <c r="AX21" s="41"/>
    </row>
    <row r="22" spans="1:50" ht="17.100000000000001" customHeight="1" x14ac:dyDescent="0.25">
      <c r="A22" s="35" t="s">
        <v>29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8">
        <v>378</v>
      </c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40" t="s">
        <v>30</v>
      </c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0" t="s">
        <v>31</v>
      </c>
      <c r="AS22" s="41"/>
      <c r="AT22" s="41"/>
      <c r="AU22" s="41"/>
      <c r="AV22" s="41"/>
      <c r="AW22" s="41"/>
      <c r="AX22" s="41"/>
    </row>
    <row r="23" spans="1:50" ht="17.100000000000001" customHeight="1" x14ac:dyDescent="0.25">
      <c r="A23" s="8" t="s">
        <v>32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8">
        <f>SUM(R16:AE22)</f>
        <v>9119</v>
      </c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40" t="s">
        <v>33</v>
      </c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0" t="s">
        <v>34</v>
      </c>
      <c r="AS23" s="41"/>
      <c r="AT23" s="41"/>
      <c r="AU23" s="41"/>
      <c r="AV23" s="41"/>
      <c r="AW23" s="41"/>
      <c r="AX23" s="41"/>
    </row>
    <row r="24" spans="1:50" ht="15.6" customHeight="1" x14ac:dyDescent="0.25"/>
    <row r="25" spans="1:50" ht="20.100000000000001" customHeight="1" x14ac:dyDescent="0.25">
      <c r="A25" s="3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50" ht="5.0999999999999996" customHeight="1" x14ac:dyDescent="0.25"/>
    <row r="27" spans="1:50" ht="17.100000000000001" customHeight="1" x14ac:dyDescent="0.25">
      <c r="A27" s="8" t="s">
        <v>36</v>
      </c>
      <c r="B27" s="29"/>
      <c r="C27" s="29"/>
      <c r="D27" s="8" t="s">
        <v>37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9"/>
      <c r="T27" s="8" t="s">
        <v>38</v>
      </c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9"/>
      <c r="AH27" s="8" t="s">
        <v>11</v>
      </c>
      <c r="AI27" s="29"/>
      <c r="AJ27" s="29"/>
      <c r="AK27" s="29"/>
      <c r="AL27" s="29"/>
      <c r="AM27" s="29"/>
      <c r="AN27" s="29"/>
    </row>
    <row r="28" spans="1:50" ht="17.100000000000001" customHeight="1" x14ac:dyDescent="0.25">
      <c r="A28" s="35" t="s">
        <v>39</v>
      </c>
      <c r="B28" s="36"/>
      <c r="C28" s="36"/>
      <c r="D28" s="31" t="s">
        <v>40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9"/>
      <c r="T28" s="33">
        <v>25000</v>
      </c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7"/>
      <c r="AH28" s="33">
        <v>75000</v>
      </c>
      <c r="AI28" s="34"/>
      <c r="AJ28" s="34"/>
      <c r="AK28" s="34"/>
      <c r="AL28" s="34"/>
      <c r="AM28" s="34"/>
      <c r="AN28" s="34"/>
    </row>
    <row r="29" spans="1:50" ht="17.100000000000001" customHeight="1" x14ac:dyDescent="0.25">
      <c r="A29" s="35" t="s">
        <v>41</v>
      </c>
      <c r="B29" s="36"/>
      <c r="C29" s="36"/>
      <c r="D29" s="31" t="s">
        <v>33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9"/>
      <c r="T29" s="33" t="s">
        <v>33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7"/>
      <c r="AH29" s="33">
        <v>0</v>
      </c>
      <c r="AI29" s="34"/>
      <c r="AJ29" s="34"/>
      <c r="AK29" s="34"/>
      <c r="AL29" s="34"/>
      <c r="AM29" s="34"/>
      <c r="AN29" s="34"/>
    </row>
    <row r="30" spans="1:50" ht="17.100000000000001" customHeight="1" x14ac:dyDescent="0.25">
      <c r="A30" s="35" t="s">
        <v>42</v>
      </c>
      <c r="B30" s="36"/>
      <c r="C30" s="36"/>
      <c r="D30" s="31" t="s">
        <v>33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9"/>
      <c r="T30" s="33" t="s">
        <v>33</v>
      </c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7"/>
      <c r="AH30" s="33">
        <v>0</v>
      </c>
      <c r="AI30" s="34"/>
      <c r="AJ30" s="34"/>
      <c r="AK30" s="34"/>
      <c r="AL30" s="34"/>
      <c r="AM30" s="34"/>
      <c r="AN30" s="34"/>
    </row>
    <row r="31" spans="1:50" ht="17.100000000000001" customHeight="1" x14ac:dyDescent="0.25">
      <c r="A31" s="35" t="s">
        <v>43</v>
      </c>
      <c r="B31" s="36"/>
      <c r="C31" s="36"/>
      <c r="D31" s="31" t="s">
        <v>44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9"/>
      <c r="T31" s="33">
        <v>2250</v>
      </c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7"/>
      <c r="AH31" s="33">
        <v>13500</v>
      </c>
      <c r="AI31" s="34"/>
      <c r="AJ31" s="34"/>
      <c r="AK31" s="34"/>
      <c r="AL31" s="34"/>
      <c r="AM31" s="34"/>
      <c r="AN31" s="34"/>
    </row>
    <row r="32" spans="1:50" ht="17.100000000000001" customHeight="1" x14ac:dyDescent="0.25">
      <c r="A32" s="35" t="s">
        <v>45</v>
      </c>
      <c r="B32" s="36"/>
      <c r="C32" s="36"/>
      <c r="D32" s="31" t="s">
        <v>33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9"/>
      <c r="T32" s="33" t="s">
        <v>33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7"/>
      <c r="AH32" s="33">
        <v>0</v>
      </c>
      <c r="AI32" s="34"/>
      <c r="AJ32" s="34"/>
      <c r="AK32" s="34"/>
      <c r="AL32" s="34"/>
      <c r="AM32" s="34"/>
      <c r="AN32" s="34"/>
    </row>
    <row r="33" spans="1:52" ht="17.100000000000001" customHeight="1" x14ac:dyDescent="0.25">
      <c r="A33" s="8" t="s">
        <v>32</v>
      </c>
      <c r="B33" s="29"/>
      <c r="C33" s="29"/>
      <c r="D33" s="31" t="s">
        <v>33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9"/>
      <c r="T33" s="33" t="s">
        <v>33</v>
      </c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7"/>
      <c r="AH33" s="33">
        <f>SUM(AH28:AN32)</f>
        <v>88500</v>
      </c>
      <c r="AI33" s="34"/>
      <c r="AJ33" s="34"/>
      <c r="AK33" s="34"/>
      <c r="AL33" s="34"/>
      <c r="AM33" s="34"/>
      <c r="AN33" s="34"/>
    </row>
    <row r="34" spans="1:52" ht="8.65" customHeight="1" x14ac:dyDescent="0.25"/>
    <row r="35" spans="1:52" ht="20.100000000000001" customHeight="1" x14ac:dyDescent="0.25">
      <c r="A35" s="3" t="s">
        <v>46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52" ht="5.0999999999999996" customHeight="1" x14ac:dyDescent="0.25"/>
    <row r="37" spans="1:52" ht="17.100000000000001" customHeight="1" x14ac:dyDescent="0.25">
      <c r="A37" s="3" t="s">
        <v>47</v>
      </c>
      <c r="B37" s="2"/>
      <c r="C37" s="2"/>
      <c r="D37" s="2"/>
      <c r="E37" s="2"/>
    </row>
    <row r="38" spans="1:52" ht="8.85" customHeight="1" x14ac:dyDescent="0.25"/>
    <row r="39" spans="1:52" x14ac:dyDescent="0.25">
      <c r="A39" s="28" t="s">
        <v>48</v>
      </c>
      <c r="B39" s="8" t="s">
        <v>49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8" t="s">
        <v>50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8" t="s">
        <v>51</v>
      </c>
      <c r="AB39" s="29"/>
      <c r="AC39" s="29"/>
      <c r="AD39" s="29"/>
      <c r="AE39" s="29"/>
      <c r="AF39" s="29"/>
      <c r="AG39" s="29"/>
      <c r="AH39" s="29"/>
      <c r="AI39" s="29"/>
      <c r="AJ39" s="29"/>
      <c r="AK39" s="8" t="s">
        <v>52</v>
      </c>
      <c r="AL39" s="29"/>
      <c r="AM39" s="29"/>
      <c r="AN39" s="29"/>
      <c r="AO39" s="29"/>
      <c r="AP39" s="29"/>
      <c r="AQ39" s="29"/>
      <c r="AR39" s="29"/>
      <c r="AS39" s="29"/>
    </row>
    <row r="40" spans="1:52" x14ac:dyDescent="0.25">
      <c r="A40" s="30" t="s">
        <v>53</v>
      </c>
      <c r="B40" s="31" t="s">
        <v>44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1" t="s">
        <v>54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10">
        <v>2825</v>
      </c>
      <c r="AB40" s="32"/>
      <c r="AC40" s="32"/>
      <c r="AD40" s="32"/>
      <c r="AE40" s="32"/>
      <c r="AF40" s="32"/>
      <c r="AG40" s="32"/>
      <c r="AH40" s="32"/>
      <c r="AI40" s="32"/>
      <c r="AJ40" s="32"/>
      <c r="AK40" s="33">
        <v>67800</v>
      </c>
      <c r="AL40" s="34"/>
      <c r="AM40" s="34"/>
      <c r="AN40" s="34"/>
      <c r="AO40" s="34"/>
      <c r="AP40" s="34"/>
      <c r="AQ40" s="34"/>
      <c r="AR40" s="34"/>
      <c r="AS40" s="34"/>
    </row>
    <row r="41" spans="1:52" x14ac:dyDescent="0.25">
      <c r="A41" s="30" t="s">
        <v>55</v>
      </c>
      <c r="B41" s="31" t="s">
        <v>33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1" t="s">
        <v>33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1" t="s">
        <v>33</v>
      </c>
      <c r="AB41" s="29"/>
      <c r="AC41" s="29"/>
      <c r="AD41" s="29"/>
      <c r="AE41" s="29"/>
      <c r="AF41" s="29"/>
      <c r="AG41" s="29"/>
      <c r="AH41" s="29"/>
      <c r="AI41" s="29"/>
      <c r="AJ41" s="29"/>
      <c r="AK41" s="33">
        <v>0</v>
      </c>
      <c r="AL41" s="34"/>
      <c r="AM41" s="34"/>
      <c r="AN41" s="34"/>
      <c r="AO41" s="34"/>
      <c r="AP41" s="34"/>
      <c r="AQ41" s="34"/>
      <c r="AR41" s="34"/>
      <c r="AS41" s="34"/>
    </row>
    <row r="42" spans="1:52" x14ac:dyDescent="0.25">
      <c r="A42" s="30" t="s">
        <v>45</v>
      </c>
      <c r="B42" s="31" t="s">
        <v>33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1" t="s">
        <v>33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31" t="s">
        <v>33</v>
      </c>
      <c r="AB42" s="29"/>
      <c r="AC42" s="29"/>
      <c r="AD42" s="29"/>
      <c r="AE42" s="29"/>
      <c r="AF42" s="29"/>
      <c r="AG42" s="29"/>
      <c r="AH42" s="29"/>
      <c r="AI42" s="29"/>
      <c r="AJ42" s="29"/>
      <c r="AK42" s="33">
        <v>0</v>
      </c>
      <c r="AL42" s="34"/>
      <c r="AM42" s="34"/>
      <c r="AN42" s="34"/>
      <c r="AO42" s="34"/>
      <c r="AP42" s="34"/>
      <c r="AQ42" s="34"/>
      <c r="AR42" s="34"/>
      <c r="AS42" s="34"/>
    </row>
    <row r="43" spans="1:52" x14ac:dyDescent="0.25">
      <c r="A43" s="28" t="s">
        <v>32</v>
      </c>
      <c r="B43" s="31">
        <v>6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1" t="s">
        <v>33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31" t="s">
        <v>33</v>
      </c>
      <c r="AB43" s="29"/>
      <c r="AC43" s="29"/>
      <c r="AD43" s="29"/>
      <c r="AE43" s="29"/>
      <c r="AF43" s="29"/>
      <c r="AG43" s="29"/>
      <c r="AH43" s="29"/>
      <c r="AI43" s="29"/>
      <c r="AJ43" s="29"/>
      <c r="AK43" s="33">
        <v>67800</v>
      </c>
      <c r="AL43" s="34"/>
      <c r="AM43" s="34"/>
      <c r="AN43" s="34"/>
      <c r="AO43" s="34"/>
      <c r="AP43" s="34"/>
      <c r="AQ43" s="34"/>
      <c r="AR43" s="34"/>
      <c r="AS43" s="34"/>
    </row>
    <row r="44" spans="1:52" ht="0" hidden="1" customHeight="1" x14ac:dyDescent="0.25"/>
    <row r="45" spans="1:52" ht="8.85" customHeight="1" x14ac:dyDescent="0.25"/>
    <row r="46" spans="1:52" ht="17.100000000000001" customHeight="1" x14ac:dyDescent="0.25">
      <c r="A46" s="3" t="s">
        <v>56</v>
      </c>
      <c r="B46" s="2"/>
      <c r="C46" s="2"/>
      <c r="D46" s="2"/>
      <c r="E46" s="2"/>
      <c r="F46" s="2"/>
      <c r="G46" s="2"/>
      <c r="H46" s="2"/>
      <c r="I46" s="2"/>
      <c r="J46" s="2"/>
    </row>
    <row r="47" spans="1:52" ht="8.85" customHeight="1" x14ac:dyDescent="0.25"/>
    <row r="48" spans="1:52" ht="20.100000000000001" customHeight="1" x14ac:dyDescent="0.25">
      <c r="A48" s="8" t="s">
        <v>57</v>
      </c>
      <c r="B48" s="29"/>
      <c r="C48" s="29"/>
      <c r="D48" s="29"/>
      <c r="E48" s="29"/>
      <c r="F48" s="29"/>
      <c r="G48" s="8" t="s">
        <v>58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8" t="s">
        <v>59</v>
      </c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8" t="s">
        <v>60</v>
      </c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9"/>
      <c r="AX48" s="8" t="s">
        <v>11</v>
      </c>
      <c r="AY48" s="29"/>
      <c r="AZ48" s="29"/>
    </row>
    <row r="49" spans="1:52" ht="17.100000000000001" customHeight="1" x14ac:dyDescent="0.25">
      <c r="A49" s="31" t="s">
        <v>61</v>
      </c>
      <c r="B49" s="29"/>
      <c r="C49" s="29"/>
      <c r="D49" s="29"/>
      <c r="E49" s="29"/>
      <c r="F49" s="29"/>
      <c r="G49" s="31" t="s">
        <v>40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31" t="s">
        <v>40</v>
      </c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31" t="s">
        <v>62</v>
      </c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9"/>
      <c r="AX49" s="31" t="s">
        <v>63</v>
      </c>
      <c r="AY49" s="29"/>
      <c r="AZ49" s="29"/>
    </row>
    <row r="50" spans="1:52" ht="8.85" customHeight="1" x14ac:dyDescent="0.25"/>
    <row r="51" spans="1:52" ht="17.100000000000001" customHeight="1" x14ac:dyDescent="0.25">
      <c r="A51" s="3" t="s">
        <v>64</v>
      </c>
      <c r="B51" s="2"/>
      <c r="C51" s="2"/>
      <c r="D51" s="2"/>
      <c r="E51" s="2"/>
      <c r="F51" s="2"/>
      <c r="G51" s="2"/>
      <c r="H51" s="2"/>
      <c r="I51" s="2"/>
      <c r="J51" s="2"/>
    </row>
    <row r="52" spans="1:52" ht="5.0999999999999996" customHeight="1" x14ac:dyDescent="0.25"/>
    <row r="53" spans="1:52" ht="17.100000000000001" customHeight="1" x14ac:dyDescent="0.25">
      <c r="A53" s="11" t="s">
        <v>65</v>
      </c>
      <c r="B53" s="12"/>
      <c r="C53" s="12"/>
      <c r="D53" s="12"/>
      <c r="E53" s="13"/>
      <c r="F53" s="13"/>
      <c r="G53" s="14"/>
      <c r="H53" s="13"/>
      <c r="I53" s="13"/>
      <c r="J53" s="23" t="s">
        <v>66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3"/>
      <c r="Y53" s="14"/>
      <c r="Z53" s="22"/>
      <c r="AA53" s="13"/>
      <c r="AB53" s="13"/>
      <c r="AC53" s="23" t="s">
        <v>52</v>
      </c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3"/>
      <c r="AP53" s="14"/>
    </row>
    <row r="54" spans="1:52" ht="5.0999999999999996" customHeight="1" x14ac:dyDescent="0.25">
      <c r="A54" s="21"/>
      <c r="B54" s="19"/>
      <c r="C54" s="19"/>
      <c r="D54" s="19"/>
      <c r="E54" s="19"/>
      <c r="F54" s="19"/>
      <c r="G54" s="20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20"/>
      <c r="Z54" s="21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20"/>
    </row>
    <row r="55" spans="1:52" ht="17.100000000000001" customHeight="1" x14ac:dyDescent="0.25">
      <c r="A55" s="17">
        <v>128369</v>
      </c>
      <c r="B55" s="18"/>
      <c r="C55" s="18"/>
      <c r="D55" s="18"/>
      <c r="E55" s="19"/>
      <c r="F55" s="19"/>
      <c r="G55" s="20"/>
      <c r="H55" s="19"/>
      <c r="I55" s="19"/>
      <c r="J55" s="19"/>
      <c r="K55" s="24" t="s">
        <v>67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9"/>
      <c r="Y55" s="20"/>
      <c r="Z55" s="21"/>
      <c r="AA55" s="19"/>
      <c r="AB55" s="19"/>
      <c r="AC55" s="19"/>
      <c r="AD55" s="25">
        <v>3851.07</v>
      </c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7"/>
    </row>
    <row r="56" spans="1:52" ht="12.2" customHeight="1" x14ac:dyDescent="0.25"/>
    <row r="57" spans="1:52" ht="17.100000000000001" customHeight="1" x14ac:dyDescent="0.25">
      <c r="A57" s="3" t="s">
        <v>68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52" ht="9.6" customHeight="1" x14ac:dyDescent="0.25"/>
    <row r="59" spans="1:52" ht="17.100000000000001" customHeight="1" x14ac:dyDescent="0.25">
      <c r="A59" s="29"/>
      <c r="B59" s="29"/>
      <c r="C59" s="8" t="s">
        <v>69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8" t="s">
        <v>70</v>
      </c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8" t="s">
        <v>11</v>
      </c>
      <c r="AH59" s="29"/>
      <c r="AI59" s="29"/>
      <c r="AJ59" s="29"/>
      <c r="AK59" s="29"/>
      <c r="AL59" s="29"/>
    </row>
    <row r="60" spans="1:52" ht="17.100000000000001" customHeight="1" x14ac:dyDescent="0.25">
      <c r="A60" s="29"/>
      <c r="B60" s="29"/>
      <c r="C60" s="33">
        <v>75000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1" t="s">
        <v>71</v>
      </c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3" t="s">
        <v>72</v>
      </c>
      <c r="AH60" s="34"/>
      <c r="AI60" s="34"/>
      <c r="AJ60" s="34"/>
      <c r="AK60" s="34"/>
      <c r="AL60" s="34"/>
    </row>
    <row r="61" spans="1:52" ht="17.100000000000001" customHeight="1" x14ac:dyDescent="0.25">
      <c r="A61" s="29"/>
      <c r="B61" s="29"/>
      <c r="C61" s="33">
        <v>0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1" t="s">
        <v>33</v>
      </c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3">
        <v>0</v>
      </c>
      <c r="AH61" s="34"/>
      <c r="AI61" s="34"/>
      <c r="AJ61" s="34"/>
      <c r="AK61" s="34"/>
      <c r="AL61" s="34"/>
    </row>
    <row r="62" spans="1:52" ht="17.100000000000001" customHeight="1" x14ac:dyDescent="0.25">
      <c r="A62" s="29"/>
      <c r="B62" s="29"/>
      <c r="C62" s="33">
        <v>0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1" t="s">
        <v>33</v>
      </c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33">
        <v>0</v>
      </c>
      <c r="AH62" s="34"/>
      <c r="AI62" s="34"/>
      <c r="AJ62" s="34"/>
      <c r="AK62" s="34"/>
      <c r="AL62" s="34"/>
    </row>
    <row r="63" spans="1:52" ht="17.100000000000001" customHeight="1" x14ac:dyDescent="0.25">
      <c r="A63" s="29"/>
      <c r="B63" s="29"/>
      <c r="C63" s="33">
        <v>13500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1" t="s">
        <v>73</v>
      </c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33" t="s">
        <v>74</v>
      </c>
      <c r="AH63" s="34"/>
      <c r="AI63" s="34"/>
      <c r="AJ63" s="34"/>
      <c r="AK63" s="34"/>
      <c r="AL63" s="34"/>
    </row>
    <row r="64" spans="1:52" ht="17.100000000000001" customHeight="1" x14ac:dyDescent="0.25">
      <c r="A64" s="29"/>
      <c r="B64" s="29"/>
      <c r="C64" s="33">
        <v>0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1" t="s">
        <v>33</v>
      </c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33">
        <v>0</v>
      </c>
      <c r="AH64" s="34"/>
      <c r="AI64" s="34"/>
      <c r="AJ64" s="34"/>
      <c r="AK64" s="34"/>
      <c r="AL64" s="34"/>
    </row>
    <row r="65" spans="1:38" ht="17.100000000000001" customHeight="1" x14ac:dyDescent="0.25">
      <c r="A65" s="29"/>
      <c r="B65" s="29"/>
      <c r="C65" s="33">
        <v>88.5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1" t="s">
        <v>33</v>
      </c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33" t="s">
        <v>75</v>
      </c>
      <c r="AH65" s="34"/>
      <c r="AI65" s="34"/>
      <c r="AJ65" s="34"/>
      <c r="AK65" s="34"/>
      <c r="AL65" s="34"/>
    </row>
    <row r="66" spans="1:38" ht="9.4" customHeight="1" x14ac:dyDescent="0.25"/>
    <row r="67" spans="1:38" ht="17.100000000000001" customHeight="1" x14ac:dyDescent="0.25">
      <c r="A67" s="3" t="s">
        <v>76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38" ht="5.0999999999999996" customHeight="1" x14ac:dyDescent="0.25"/>
    <row r="69" spans="1:38" ht="17.100000000000001" customHeight="1" x14ac:dyDescent="0.25">
      <c r="A69" s="80" t="s">
        <v>77</v>
      </c>
      <c r="B69" s="47"/>
      <c r="C69" s="47"/>
      <c r="D69" s="47"/>
      <c r="E69" s="52"/>
      <c r="F69" s="45"/>
      <c r="G69" s="45"/>
      <c r="H69" s="45"/>
      <c r="I69" s="45"/>
      <c r="J69" s="45"/>
      <c r="K69" s="45"/>
      <c r="L69" s="75" t="s">
        <v>66</v>
      </c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52"/>
      <c r="Z69" s="45"/>
      <c r="AA69" s="45"/>
      <c r="AB69" s="45"/>
      <c r="AC69" s="45"/>
      <c r="AD69" s="45"/>
      <c r="AE69" s="45"/>
      <c r="AF69" s="45"/>
      <c r="AG69" s="45"/>
      <c r="AH69" s="82" t="s">
        <v>11</v>
      </c>
      <c r="AI69" s="47"/>
      <c r="AJ69" s="47"/>
      <c r="AK69" s="47"/>
      <c r="AL69" s="48"/>
    </row>
    <row r="70" spans="1:38" ht="5.0999999999999996" customHeight="1" x14ac:dyDescent="0.25">
      <c r="A70" s="15"/>
      <c r="E70" s="16"/>
      <c r="Y70" s="16"/>
      <c r="AL70" s="16"/>
    </row>
    <row r="71" spans="1:38" ht="17.100000000000001" customHeight="1" x14ac:dyDescent="0.25">
      <c r="A71" s="81">
        <v>88.5</v>
      </c>
      <c r="B71" s="18"/>
      <c r="C71" s="18"/>
      <c r="D71" s="18"/>
      <c r="E71" s="20"/>
      <c r="F71" s="19"/>
      <c r="G71" s="19"/>
      <c r="H71" s="19"/>
      <c r="I71" s="19"/>
      <c r="J71" s="19"/>
      <c r="K71" s="19"/>
      <c r="L71" s="24">
        <v>0.06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/>
      <c r="Z71" s="19"/>
      <c r="AA71" s="19"/>
      <c r="AB71" s="19"/>
      <c r="AC71" s="19"/>
      <c r="AD71" s="19"/>
      <c r="AE71" s="19"/>
      <c r="AF71" s="19"/>
      <c r="AG71" s="19"/>
      <c r="AH71" s="25">
        <v>5310</v>
      </c>
      <c r="AI71" s="18"/>
      <c r="AJ71" s="18"/>
      <c r="AK71" s="18"/>
      <c r="AL71" s="76"/>
    </row>
    <row r="72" spans="1:38" ht="16.149999999999999" customHeight="1" x14ac:dyDescent="0.25"/>
    <row r="73" spans="1:38" ht="17.100000000000001" customHeight="1" x14ac:dyDescent="0.25">
      <c r="A73" s="3" t="s">
        <v>78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8" ht="5.0999999999999996" customHeight="1" x14ac:dyDescent="0.25"/>
    <row r="75" spans="1:38" ht="17.100000000000001" customHeight="1" x14ac:dyDescent="0.25">
      <c r="A75" s="53" t="s">
        <v>79</v>
      </c>
      <c r="B75" s="47"/>
      <c r="C75" s="47"/>
      <c r="D75" s="47"/>
      <c r="E75" s="47"/>
      <c r="F75" s="47"/>
      <c r="G75" s="47"/>
      <c r="H75" s="47"/>
      <c r="I75" s="45"/>
      <c r="J75" s="45"/>
      <c r="K75" s="45"/>
      <c r="L75" s="45"/>
      <c r="M75" s="45"/>
      <c r="N75" s="45"/>
      <c r="O75" s="52"/>
      <c r="P75" s="44"/>
      <c r="Q75" s="46" t="s">
        <v>11</v>
      </c>
      <c r="R75" s="47"/>
      <c r="S75" s="47"/>
      <c r="T75" s="47"/>
      <c r="U75" s="47"/>
      <c r="V75" s="47"/>
      <c r="W75" s="47"/>
      <c r="X75" s="47"/>
      <c r="Y75" s="47"/>
      <c r="Z75" s="47"/>
      <c r="AA75" s="45"/>
      <c r="AB75" s="52"/>
    </row>
    <row r="76" spans="1:38" ht="5.0999999999999996" customHeight="1" x14ac:dyDescent="0.25">
      <c r="A76" s="15"/>
      <c r="O76" s="16"/>
      <c r="P76" s="15"/>
      <c r="AB76" s="16"/>
    </row>
    <row r="77" spans="1:38" ht="17.100000000000001" customHeight="1" x14ac:dyDescent="0.25">
      <c r="A77" s="54" t="s">
        <v>80</v>
      </c>
      <c r="B77" s="18"/>
      <c r="C77" s="18"/>
      <c r="D77" s="18"/>
      <c r="E77" s="18"/>
      <c r="F77" s="18"/>
      <c r="G77" s="18"/>
      <c r="H77" s="18"/>
      <c r="I77" s="19"/>
      <c r="J77" s="19"/>
      <c r="K77" s="19"/>
      <c r="L77" s="19"/>
      <c r="M77" s="19"/>
      <c r="N77" s="19"/>
      <c r="O77" s="20"/>
      <c r="P77" s="21"/>
      <c r="Q77" s="49">
        <v>67800</v>
      </c>
      <c r="R77" s="50"/>
      <c r="S77" s="50"/>
      <c r="T77" s="50"/>
      <c r="U77" s="50"/>
      <c r="V77" s="50"/>
      <c r="W77" s="50"/>
      <c r="X77" s="50"/>
      <c r="Y77" s="50"/>
      <c r="Z77" s="50"/>
      <c r="AA77" s="51"/>
      <c r="AB77" s="20"/>
    </row>
    <row r="78" spans="1:38" ht="5.0999999999999996" customHeight="1" x14ac:dyDescent="0.25">
      <c r="A78" s="15"/>
      <c r="O78" s="16"/>
      <c r="P78" s="15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16"/>
    </row>
    <row r="79" spans="1:38" ht="17.100000000000001" customHeight="1" x14ac:dyDescent="0.25">
      <c r="A79" s="54" t="s">
        <v>81</v>
      </c>
      <c r="B79" s="18"/>
      <c r="C79" s="18"/>
      <c r="D79" s="18"/>
      <c r="E79" s="18"/>
      <c r="F79" s="18"/>
      <c r="G79" s="18"/>
      <c r="H79" s="18"/>
      <c r="I79" s="19"/>
      <c r="J79" s="19"/>
      <c r="K79" s="19"/>
      <c r="L79" s="19"/>
      <c r="M79" s="19"/>
      <c r="N79" s="19"/>
      <c r="O79" s="20"/>
      <c r="P79" s="21"/>
      <c r="Q79" s="49">
        <v>20952</v>
      </c>
      <c r="R79" s="50"/>
      <c r="S79" s="50"/>
      <c r="T79" s="50"/>
      <c r="U79" s="50"/>
      <c r="V79" s="50"/>
      <c r="W79" s="50"/>
      <c r="X79" s="50"/>
      <c r="Y79" s="50"/>
      <c r="Z79" s="50"/>
      <c r="AA79" s="51"/>
      <c r="AB79" s="20"/>
    </row>
    <row r="80" spans="1:38" ht="5.0999999999999996" customHeight="1" x14ac:dyDescent="0.25">
      <c r="A80" s="15"/>
      <c r="O80" s="16"/>
      <c r="P80" s="15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16"/>
    </row>
    <row r="81" spans="1:30" ht="17.100000000000001" customHeight="1" x14ac:dyDescent="0.25">
      <c r="A81" s="54" t="s">
        <v>82</v>
      </c>
      <c r="B81" s="18"/>
      <c r="C81" s="18"/>
      <c r="D81" s="18"/>
      <c r="E81" s="18"/>
      <c r="F81" s="18"/>
      <c r="G81" s="18"/>
      <c r="H81" s="18"/>
      <c r="I81" s="19"/>
      <c r="J81" s="19"/>
      <c r="K81" s="19"/>
      <c r="L81" s="19"/>
      <c r="M81" s="19"/>
      <c r="N81" s="19"/>
      <c r="O81" s="20"/>
      <c r="P81" s="21"/>
      <c r="Q81" s="49">
        <v>3851.07</v>
      </c>
      <c r="R81" s="50"/>
      <c r="S81" s="50"/>
      <c r="T81" s="50"/>
      <c r="U81" s="50"/>
      <c r="V81" s="50"/>
      <c r="W81" s="50"/>
      <c r="X81" s="50"/>
      <c r="Y81" s="50"/>
      <c r="Z81" s="50"/>
      <c r="AA81" s="51"/>
      <c r="AB81" s="20"/>
    </row>
    <row r="82" spans="1:30" ht="5.0999999999999996" customHeight="1" x14ac:dyDescent="0.25">
      <c r="A82" s="15"/>
      <c r="O82" s="16"/>
      <c r="P82" s="15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16"/>
    </row>
    <row r="83" spans="1:30" ht="17.100000000000001" customHeight="1" x14ac:dyDescent="0.25">
      <c r="A83" s="54" t="s">
        <v>83</v>
      </c>
      <c r="B83" s="18"/>
      <c r="C83" s="18"/>
      <c r="D83" s="18"/>
      <c r="E83" s="18"/>
      <c r="F83" s="18"/>
      <c r="G83" s="18"/>
      <c r="H83" s="18"/>
      <c r="I83" s="19"/>
      <c r="J83" s="19"/>
      <c r="K83" s="19"/>
      <c r="L83" s="19"/>
      <c r="M83" s="19"/>
      <c r="N83" s="19"/>
      <c r="O83" s="20"/>
      <c r="P83" s="21"/>
      <c r="Q83" s="49">
        <v>9750</v>
      </c>
      <c r="R83" s="50"/>
      <c r="S83" s="50"/>
      <c r="T83" s="50"/>
      <c r="U83" s="50"/>
      <c r="V83" s="50"/>
      <c r="W83" s="50"/>
      <c r="X83" s="50"/>
      <c r="Y83" s="50"/>
      <c r="Z83" s="50"/>
      <c r="AA83" s="51"/>
      <c r="AB83" s="20"/>
    </row>
    <row r="84" spans="1:30" ht="5.0999999999999996" customHeight="1" x14ac:dyDescent="0.25">
      <c r="A84" s="15"/>
      <c r="O84" s="16"/>
      <c r="P84" s="15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16"/>
    </row>
    <row r="85" spans="1:30" ht="17.100000000000001" customHeight="1" x14ac:dyDescent="0.25">
      <c r="A85" s="54" t="s">
        <v>84</v>
      </c>
      <c r="B85" s="18"/>
      <c r="C85" s="18"/>
      <c r="D85" s="18"/>
      <c r="E85" s="18"/>
      <c r="F85" s="18"/>
      <c r="G85" s="18"/>
      <c r="H85" s="18"/>
      <c r="I85" s="19"/>
      <c r="J85" s="19"/>
      <c r="K85" s="19"/>
      <c r="L85" s="19"/>
      <c r="M85" s="19"/>
      <c r="N85" s="19"/>
      <c r="O85" s="20"/>
      <c r="P85" s="21"/>
      <c r="Q85" s="49">
        <v>5310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20"/>
    </row>
    <row r="86" spans="1:30" ht="10.35" customHeight="1" x14ac:dyDescent="0.25">
      <c r="A86" s="15"/>
      <c r="O86" s="16"/>
      <c r="P86" s="15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16"/>
    </row>
    <row r="87" spans="1:30" ht="17.100000000000001" customHeight="1" x14ac:dyDescent="0.25">
      <c r="A87" s="55" t="s">
        <v>32</v>
      </c>
      <c r="B87" s="18"/>
      <c r="C87" s="18"/>
      <c r="D87" s="18"/>
      <c r="E87" s="18"/>
      <c r="F87" s="18"/>
      <c r="G87" s="18"/>
      <c r="H87" s="18"/>
      <c r="I87" s="19"/>
      <c r="J87" s="19"/>
      <c r="K87" s="19"/>
      <c r="L87" s="19"/>
      <c r="M87" s="19"/>
      <c r="N87" s="19"/>
      <c r="O87" s="20"/>
      <c r="P87" s="21"/>
      <c r="Q87" s="49">
        <v>107663.07</v>
      </c>
      <c r="R87" s="50"/>
      <c r="S87" s="50"/>
      <c r="T87" s="50"/>
      <c r="U87" s="50"/>
      <c r="V87" s="50"/>
      <c r="W87" s="50"/>
      <c r="X87" s="50"/>
      <c r="Y87" s="50"/>
      <c r="Z87" s="51"/>
      <c r="AA87" s="51"/>
      <c r="AB87" s="20"/>
    </row>
    <row r="88" spans="1:30" ht="15" customHeight="1" x14ac:dyDescent="0.25"/>
    <row r="89" spans="1:30" ht="17.100000000000001" customHeight="1" x14ac:dyDescent="0.25">
      <c r="A89" s="3" t="s">
        <v>85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30" ht="5.0999999999999996" customHeight="1" x14ac:dyDescent="0.25"/>
    <row r="91" spans="1:30" ht="17.100000000000001" customHeight="1" x14ac:dyDescent="0.25">
      <c r="A91" s="65" t="s">
        <v>86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52"/>
      <c r="Q91" s="57">
        <v>128369</v>
      </c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9"/>
    </row>
    <row r="92" spans="1:30" ht="5.0999999999999996" customHeight="1" x14ac:dyDescent="0.25">
      <c r="A92" s="15"/>
      <c r="P92" s="16"/>
      <c r="Q92" s="60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61"/>
    </row>
    <row r="93" spans="1:30" ht="17.100000000000001" customHeight="1" x14ac:dyDescent="0.25">
      <c r="A93" s="54" t="s">
        <v>87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20"/>
      <c r="Q93" s="62">
        <v>107663.07</v>
      </c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4"/>
    </row>
    <row r="94" spans="1:30" ht="5.0999999999999996" customHeight="1" x14ac:dyDescent="0.25">
      <c r="A94" s="15"/>
      <c r="P94" s="16"/>
      <c r="Q94" s="60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61"/>
    </row>
    <row r="95" spans="1:30" ht="17.100000000000001" customHeight="1" x14ac:dyDescent="0.25">
      <c r="A95" s="54" t="s">
        <v>88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20"/>
      <c r="Q95" s="62">
        <v>20705.93</v>
      </c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4"/>
    </row>
    <row r="96" spans="1:30" ht="19.7" customHeight="1" x14ac:dyDescent="0.25"/>
    <row r="97" spans="1:58" ht="17.100000000000001" customHeight="1" x14ac:dyDescent="0.25">
      <c r="A97" s="67" t="s">
        <v>89</v>
      </c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9"/>
      <c r="N97" s="44"/>
      <c r="O97" s="75" t="s">
        <v>90</v>
      </c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52"/>
      <c r="AH97" s="44"/>
      <c r="AI97" s="75" t="s">
        <v>91</v>
      </c>
      <c r="AJ97" s="47"/>
      <c r="AK97" s="47"/>
      <c r="AL97" s="47"/>
      <c r="AM97" s="47"/>
      <c r="AN97" s="47"/>
      <c r="AO97" s="47"/>
      <c r="AP97" s="47"/>
      <c r="AQ97" s="47"/>
      <c r="AR97" s="47"/>
      <c r="AS97" s="52"/>
      <c r="AU97" s="44"/>
      <c r="AV97" s="75" t="s">
        <v>11</v>
      </c>
      <c r="AW97" s="47"/>
      <c r="AX97" s="47"/>
      <c r="AY97" s="48"/>
    </row>
    <row r="98" spans="1:58" ht="5.0999999999999996" customHeight="1" x14ac:dyDescent="0.25">
      <c r="A98" s="70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71"/>
      <c r="N98" s="15"/>
      <c r="AF98" s="16"/>
      <c r="AH98" s="15"/>
      <c r="AS98" s="16"/>
      <c r="AU98" s="15"/>
      <c r="AY98" s="16"/>
    </row>
    <row r="99" spans="1:58" ht="17.100000000000001" customHeight="1" x14ac:dyDescent="0.25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4"/>
      <c r="N99" s="21"/>
      <c r="O99" s="25">
        <v>20705.93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20"/>
      <c r="AH99" s="21"/>
      <c r="AI99" s="24" t="s">
        <v>92</v>
      </c>
      <c r="AJ99" s="18"/>
      <c r="AK99" s="18"/>
      <c r="AL99" s="18"/>
      <c r="AM99" s="18"/>
      <c r="AN99" s="18"/>
      <c r="AO99" s="19"/>
      <c r="AP99" s="19"/>
      <c r="AQ99" s="19"/>
      <c r="AR99" s="19"/>
      <c r="AS99" s="20"/>
      <c r="AU99" s="21"/>
      <c r="AV99" s="25">
        <v>6211.78</v>
      </c>
      <c r="AW99" s="18"/>
      <c r="AX99" s="18"/>
      <c r="AY99" s="76"/>
    </row>
    <row r="100" spans="1:58" ht="20.25" customHeight="1" x14ac:dyDescent="0.25"/>
    <row r="101" spans="1:58" ht="54" customHeight="1" x14ac:dyDescent="0.25">
      <c r="A101" s="77" t="s">
        <v>93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42"/>
    </row>
    <row r="102" spans="1:58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42"/>
    </row>
    <row r="104" spans="1:58" x14ac:dyDescent="0.25">
      <c r="A104" s="78" t="s">
        <v>95</v>
      </c>
      <c r="B104" s="78"/>
      <c r="C104" s="78"/>
      <c r="D104" s="78"/>
      <c r="E104" s="78"/>
      <c r="F104" s="78"/>
      <c r="G104" s="78" t="s">
        <v>96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 t="s">
        <v>96</v>
      </c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 t="s">
        <v>96</v>
      </c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42"/>
      <c r="AX104" s="78" t="s">
        <v>96</v>
      </c>
      <c r="AY104" s="78"/>
      <c r="AZ104" s="78"/>
      <c r="BA104" s="78"/>
      <c r="BB104" s="42"/>
      <c r="BC104" s="42"/>
      <c r="BD104" s="42"/>
      <c r="BE104" s="42"/>
      <c r="BF104" s="42"/>
    </row>
    <row r="105" spans="1:58" x14ac:dyDescent="0.25">
      <c r="A105" s="78" t="s">
        <v>94</v>
      </c>
      <c r="B105" s="78"/>
      <c r="C105" s="78"/>
      <c r="D105" s="78"/>
      <c r="E105" s="78"/>
      <c r="F105" s="78"/>
      <c r="G105" s="78" t="s">
        <v>97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 t="s">
        <v>98</v>
      </c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 t="s">
        <v>102</v>
      </c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42"/>
      <c r="AX105" s="78" t="s">
        <v>103</v>
      </c>
      <c r="AY105" s="78"/>
      <c r="AZ105" s="78"/>
      <c r="BA105" s="78"/>
    </row>
    <row r="106" spans="1:58" x14ac:dyDescent="0.25">
      <c r="A106" s="78" t="s">
        <v>99</v>
      </c>
      <c r="B106" s="78"/>
      <c r="C106" s="78"/>
      <c r="D106" s="78"/>
      <c r="E106" s="78"/>
      <c r="F106" s="78"/>
      <c r="G106" s="78" t="s">
        <v>100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 t="s">
        <v>101</v>
      </c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 t="s">
        <v>104</v>
      </c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42"/>
      <c r="AX106" s="78" t="s">
        <v>104</v>
      </c>
      <c r="AY106" s="78"/>
      <c r="AZ106" s="78"/>
      <c r="BA106" s="78"/>
    </row>
  </sheetData>
  <mergeCells count="195">
    <mergeCell ref="A106:F106"/>
    <mergeCell ref="G106:W106"/>
    <mergeCell ref="X106:AK106"/>
    <mergeCell ref="AL106:AV106"/>
    <mergeCell ref="AX106:BA106"/>
    <mergeCell ref="AL104:AV104"/>
    <mergeCell ref="AX104:BA104"/>
    <mergeCell ref="A105:F105"/>
    <mergeCell ref="G105:W105"/>
    <mergeCell ref="X105:AK105"/>
    <mergeCell ref="AL105:AV105"/>
    <mergeCell ref="AX105:BA105"/>
    <mergeCell ref="A104:F104"/>
    <mergeCell ref="G104:W104"/>
    <mergeCell ref="X104:AK104"/>
    <mergeCell ref="A1:BA1"/>
    <mergeCell ref="A8:E9"/>
    <mergeCell ref="A97:M99"/>
    <mergeCell ref="A101:AZ101"/>
    <mergeCell ref="O97:AE97"/>
    <mergeCell ref="AI97:AR97"/>
    <mergeCell ref="AV97:AY97"/>
    <mergeCell ref="O99:AE99"/>
    <mergeCell ref="AI99:AN99"/>
    <mergeCell ref="AV99:AY99"/>
    <mergeCell ref="A91:O91"/>
    <mergeCell ref="Q91:AD91"/>
    <mergeCell ref="A93:O93"/>
    <mergeCell ref="Q93:AD93"/>
    <mergeCell ref="A95:O95"/>
    <mergeCell ref="Q95:AD95"/>
    <mergeCell ref="A85:H85"/>
    <mergeCell ref="Q85:AA85"/>
    <mergeCell ref="A87:H87"/>
    <mergeCell ref="Q87:Y87"/>
    <mergeCell ref="A89:V89"/>
    <mergeCell ref="A79:H79"/>
    <mergeCell ref="Q79:Z79"/>
    <mergeCell ref="A81:H81"/>
    <mergeCell ref="Q81:Z81"/>
    <mergeCell ref="A83:H83"/>
    <mergeCell ref="Q83:Z83"/>
    <mergeCell ref="A73:AF73"/>
    <mergeCell ref="A75:H75"/>
    <mergeCell ref="Q75:Z75"/>
    <mergeCell ref="A77:H77"/>
    <mergeCell ref="Q77:Z77"/>
    <mergeCell ref="A67:L67"/>
    <mergeCell ref="A69:D69"/>
    <mergeCell ref="L69:X69"/>
    <mergeCell ref="AH69:AL69"/>
    <mergeCell ref="A71:D71"/>
    <mergeCell ref="L71:X71"/>
    <mergeCell ref="AH71:AL71"/>
    <mergeCell ref="A64:B64"/>
    <mergeCell ref="C64:T64"/>
    <mergeCell ref="U64:AF64"/>
    <mergeCell ref="AG64:AL64"/>
    <mergeCell ref="A65:B65"/>
    <mergeCell ref="C65:T65"/>
    <mergeCell ref="U65:AF65"/>
    <mergeCell ref="AG65:AL65"/>
    <mergeCell ref="A62:B62"/>
    <mergeCell ref="C62:T62"/>
    <mergeCell ref="U62:AF62"/>
    <mergeCell ref="AG62:AL62"/>
    <mergeCell ref="A63:B63"/>
    <mergeCell ref="C63:T63"/>
    <mergeCell ref="U63:AF63"/>
    <mergeCell ref="AG63:AL63"/>
    <mergeCell ref="A60:B60"/>
    <mergeCell ref="C60:T60"/>
    <mergeCell ref="U60:AF60"/>
    <mergeCell ref="AG60:AL60"/>
    <mergeCell ref="A61:B61"/>
    <mergeCell ref="C61:T61"/>
    <mergeCell ref="U61:AF61"/>
    <mergeCell ref="AG61:AL61"/>
    <mergeCell ref="A57:L57"/>
    <mergeCell ref="A59:B59"/>
    <mergeCell ref="C59:T59"/>
    <mergeCell ref="U59:AF59"/>
    <mergeCell ref="AG59:AL59"/>
    <mergeCell ref="A51:J51"/>
    <mergeCell ref="A53:D53"/>
    <mergeCell ref="J53:W53"/>
    <mergeCell ref="AC53:AN53"/>
    <mergeCell ref="A55:D55"/>
    <mergeCell ref="K55:W55"/>
    <mergeCell ref="AD55:AP55"/>
    <mergeCell ref="A49:F49"/>
    <mergeCell ref="G49:U49"/>
    <mergeCell ref="V49:AK49"/>
    <mergeCell ref="AL49:AV49"/>
    <mergeCell ref="AX49:AZ49"/>
    <mergeCell ref="A48:F48"/>
    <mergeCell ref="G48:U48"/>
    <mergeCell ref="V48:AK48"/>
    <mergeCell ref="AL48:AV48"/>
    <mergeCell ref="AX48:AZ48"/>
    <mergeCell ref="B43:M43"/>
    <mergeCell ref="N43:Z43"/>
    <mergeCell ref="AA43:AJ43"/>
    <mergeCell ref="AK43:AS43"/>
    <mergeCell ref="A46:J46"/>
    <mergeCell ref="B41:M41"/>
    <mergeCell ref="N41:Z41"/>
    <mergeCell ref="AA41:AJ41"/>
    <mergeCell ref="AK41:AS41"/>
    <mergeCell ref="B42:M42"/>
    <mergeCell ref="N42:Z42"/>
    <mergeCell ref="AA42:AJ42"/>
    <mergeCell ref="AK42:AS42"/>
    <mergeCell ref="AK39:AS39"/>
    <mergeCell ref="B40:M40"/>
    <mergeCell ref="N40:Z40"/>
    <mergeCell ref="AA40:AJ40"/>
    <mergeCell ref="AK40:AS40"/>
    <mergeCell ref="A35:O35"/>
    <mergeCell ref="A37:E37"/>
    <mergeCell ref="B39:M39"/>
    <mergeCell ref="N39:Z39"/>
    <mergeCell ref="AA39:AJ39"/>
    <mergeCell ref="A32:C32"/>
    <mergeCell ref="D32:R32"/>
    <mergeCell ref="T32:AF32"/>
    <mergeCell ref="AH32:AN32"/>
    <mergeCell ref="A33:C33"/>
    <mergeCell ref="D33:R33"/>
    <mergeCell ref="T33:AF33"/>
    <mergeCell ref="AH33:AN33"/>
    <mergeCell ref="A30:C30"/>
    <mergeCell ref="D30:R30"/>
    <mergeCell ref="T30:AF30"/>
    <mergeCell ref="AH30:AN30"/>
    <mergeCell ref="A31:C31"/>
    <mergeCell ref="D31:R31"/>
    <mergeCell ref="T31:AF31"/>
    <mergeCell ref="AH31:AN31"/>
    <mergeCell ref="A28:C28"/>
    <mergeCell ref="D28:R28"/>
    <mergeCell ref="T28:AF28"/>
    <mergeCell ref="AH28:AN28"/>
    <mergeCell ref="A29:C29"/>
    <mergeCell ref="D29:R29"/>
    <mergeCell ref="T29:AF29"/>
    <mergeCell ref="AH29:AN29"/>
    <mergeCell ref="A25:R25"/>
    <mergeCell ref="A27:C27"/>
    <mergeCell ref="D27:R27"/>
    <mergeCell ref="T27:AF27"/>
    <mergeCell ref="AH27:AN27"/>
    <mergeCell ref="A22:Q22"/>
    <mergeCell ref="R22:AE22"/>
    <mergeCell ref="AF22:AQ22"/>
    <mergeCell ref="AR22:AX22"/>
    <mergeCell ref="A23:Q23"/>
    <mergeCell ref="R23:AE23"/>
    <mergeCell ref="AF23:AQ23"/>
    <mergeCell ref="AR23:AX23"/>
    <mergeCell ref="A20:Q20"/>
    <mergeCell ref="R20:AE20"/>
    <mergeCell ref="AF20:AQ20"/>
    <mergeCell ref="AR20:AX20"/>
    <mergeCell ref="A21:Q21"/>
    <mergeCell ref="R21:AE21"/>
    <mergeCell ref="AF21:AQ21"/>
    <mergeCell ref="AR21:AX21"/>
    <mergeCell ref="A18:Q18"/>
    <mergeCell ref="R18:AE18"/>
    <mergeCell ref="AF18:AQ18"/>
    <mergeCell ref="AR18:AX18"/>
    <mergeCell ref="A19:Q19"/>
    <mergeCell ref="R19:AE19"/>
    <mergeCell ref="AF19:AQ19"/>
    <mergeCell ref="AR19:AX19"/>
    <mergeCell ref="A16:Q16"/>
    <mergeCell ref="R16:AE16"/>
    <mergeCell ref="AF16:AQ16"/>
    <mergeCell ref="AR16:AX16"/>
    <mergeCell ref="A17:Q17"/>
    <mergeCell ref="R17:AE17"/>
    <mergeCell ref="AF17:AQ17"/>
    <mergeCell ref="AR17:AX17"/>
    <mergeCell ref="A11:E11"/>
    <mergeCell ref="H11:AV11"/>
    <mergeCell ref="A13:H13"/>
    <mergeCell ref="A15:Q15"/>
    <mergeCell ref="R15:AE15"/>
    <mergeCell ref="AF15:AQ15"/>
    <mergeCell ref="AR15:AX15"/>
    <mergeCell ref="A3:H3"/>
    <mergeCell ref="A5:E5"/>
    <mergeCell ref="H5:AI6"/>
    <mergeCell ref="H8:AI9"/>
  </mergeCells>
  <printOptions horizontalCentered="1"/>
  <pageMargins left="0.98425196850393704" right="0.39370078740157483" top="0.98425196850393704" bottom="0.59055118110236227" header="0.78740157480314965" footer="0.78740157480314965"/>
  <pageSetup paperSize="9" scale="87" orientation="portrait" horizontalDpi="300" verticalDpi="300" r:id="rId1"/>
  <headerFooter alignWithMargins="0"/>
  <ignoredErrors>
    <ignoredError sqref="AI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Avlak</vt:lpstr>
      <vt:lpstr>Avlak!Yazdırma_Alanı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2021-12-14T11:41:57Z</cp:lastPrinted>
  <dcterms:created xsi:type="dcterms:W3CDTF">2021-12-14T11:42:22Z</dcterms:created>
  <dcterms:modified xsi:type="dcterms:W3CDTF">2021-12-14T11:42:22Z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