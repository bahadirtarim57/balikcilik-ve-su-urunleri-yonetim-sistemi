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4000" windowHeight="9750"/>
  </bookViews>
  <sheets>
    <sheet name="Sayfa2" sheetId="2" r:id="rId1"/>
  </sheets>
  <calcPr calcId="152511"/>
</workbook>
</file>

<file path=xl/calcChain.xml><?xml version="1.0" encoding="utf-8"?>
<calcChain xmlns="http://schemas.openxmlformats.org/spreadsheetml/2006/main">
  <c r="U30" i="2" l="1"/>
  <c r="U24" i="2"/>
  <c r="U25" i="2"/>
  <c r="U26" i="2"/>
  <c r="U27" i="2"/>
  <c r="U28" i="2"/>
  <c r="U29" i="2"/>
  <c r="U23" i="2"/>
  <c r="T30" i="2"/>
  <c r="C17" i="2" l="1"/>
  <c r="M17" i="2" l="1"/>
  <c r="N17" i="2"/>
  <c r="L17" i="2"/>
  <c r="E8" i="2"/>
  <c r="F8" i="2" s="1"/>
  <c r="E9" i="2"/>
  <c r="F9" i="2" s="1"/>
  <c r="E10" i="2"/>
  <c r="F10" i="2" s="1"/>
  <c r="E11" i="2"/>
  <c r="F11" i="2" s="1"/>
  <c r="E12" i="2"/>
  <c r="F12" i="2" s="1"/>
  <c r="E13" i="2"/>
  <c r="F13" i="2" s="1"/>
  <c r="E7" i="2"/>
  <c r="F7" i="2" s="1"/>
  <c r="G7" i="2" l="1"/>
  <c r="K7" i="2" s="1"/>
  <c r="Q10" i="2" l="1"/>
  <c r="T10" i="2" s="1"/>
  <c r="P9" i="2"/>
  <c r="S9" i="2" s="1"/>
  <c r="Q7" i="2"/>
  <c r="T7" i="2" s="1"/>
  <c r="O14" i="2"/>
  <c r="R14" i="2" s="1"/>
  <c r="Q11" i="2"/>
  <c r="T11" i="2" s="1"/>
  <c r="P10" i="2"/>
  <c r="S10" i="2" s="1"/>
  <c r="P7" i="2"/>
  <c r="S7" i="2" s="1"/>
  <c r="O15" i="2"/>
  <c r="R15" i="2" s="1"/>
  <c r="P15" i="2"/>
  <c r="S15" i="2" s="1"/>
  <c r="P8" i="2"/>
  <c r="S8" i="2" s="1"/>
  <c r="Q12" i="2"/>
  <c r="T12" i="2" s="1"/>
  <c r="P11" i="2"/>
  <c r="S11" i="2" s="1"/>
  <c r="O8" i="2"/>
  <c r="R8" i="2" s="1"/>
  <c r="O16" i="2"/>
  <c r="R16" i="2" s="1"/>
  <c r="Q13" i="2"/>
  <c r="T13" i="2" s="1"/>
  <c r="P12" i="2"/>
  <c r="S12" i="2" s="1"/>
  <c r="O9" i="2"/>
  <c r="R9" i="2" s="1"/>
  <c r="O7" i="2"/>
  <c r="R7" i="2" s="1"/>
  <c r="Q9" i="2"/>
  <c r="T9" i="2" s="1"/>
  <c r="O13" i="2"/>
  <c r="R13" i="2" s="1"/>
  <c r="Q14" i="2"/>
  <c r="T14" i="2" s="1"/>
  <c r="P13" i="2"/>
  <c r="S13" i="2" s="1"/>
  <c r="O10" i="2"/>
  <c r="R10" i="2" s="1"/>
  <c r="Q15" i="2"/>
  <c r="T15" i="2" s="1"/>
  <c r="P14" i="2"/>
  <c r="S14" i="2" s="1"/>
  <c r="O11" i="2"/>
  <c r="R11" i="2" s="1"/>
  <c r="Q8" i="2"/>
  <c r="T8" i="2" s="1"/>
  <c r="Q16" i="2"/>
  <c r="T16" i="2" s="1"/>
  <c r="O12" i="2"/>
  <c r="R12" i="2" s="1"/>
  <c r="P16" i="2"/>
  <c r="S16" i="2" s="1"/>
  <c r="P17" i="2"/>
  <c r="S17" i="2" s="1"/>
  <c r="Q17" i="2"/>
  <c r="T17" i="2" s="1"/>
  <c r="O17" i="2"/>
  <c r="R17" i="2" s="1"/>
  <c r="R18" i="2" l="1"/>
  <c r="P24" i="2" s="1"/>
  <c r="P23" i="2" l="1"/>
  <c r="P22" i="2"/>
</calcChain>
</file>

<file path=xl/comments1.xml><?xml version="1.0" encoding="utf-8"?>
<comments xmlns="http://schemas.openxmlformats.org/spreadsheetml/2006/main">
  <authors>
    <author>Yazar</author>
  </authors>
  <commentList>
    <comment ref="E1" authorId="0" shapeId="0">
      <text>
        <r>
          <rPr>
            <b/>
            <sz val="9"/>
            <color indexed="81"/>
            <rFont val="Tahoma"/>
            <family val="2"/>
            <charset val="162"/>
          </rPr>
          <t>Yazar:</t>
        </r>
        <r>
          <rPr>
            <sz val="9"/>
            <color indexed="81"/>
            <rFont val="Tahoma"/>
            <family val="2"/>
            <charset val="162"/>
          </rPr>
          <t xml:space="preserve">
Baraj gölünün metrekare cinsinden alanı</t>
        </r>
      </text>
    </comment>
    <comment ref="D3" authorId="0" shapeId="0">
      <text>
        <r>
          <rPr>
            <b/>
            <sz val="9"/>
            <color indexed="81"/>
            <rFont val="Tahoma"/>
            <family val="2"/>
            <charset val="162"/>
          </rPr>
          <t>Yazar:</t>
        </r>
        <r>
          <rPr>
            <sz val="9"/>
            <color indexed="81"/>
            <rFont val="Tahoma"/>
            <family val="2"/>
            <charset val="162"/>
          </rPr>
          <t xml:space="preserve">
Dikkat edilecek nokta su Kullanılması gereken  ağ göz açıklıklarına karar verilmesi için su kaynağındaki ticari türlerin bilinmesi gereklidir</t>
        </r>
      </text>
    </comment>
    <comment ref="L5" authorId="0" shapeId="0">
      <text>
        <r>
          <rPr>
            <b/>
            <sz val="9"/>
            <color indexed="81"/>
            <rFont val="Tahoma"/>
            <family val="2"/>
            <charset val="162"/>
          </rPr>
          <t>Yazar:</t>
        </r>
        <r>
          <rPr>
            <sz val="9"/>
            <color indexed="81"/>
            <rFont val="Tahoma"/>
            <family val="2"/>
            <charset val="162"/>
          </rPr>
          <t xml:space="preserve">
İstasyonlarda her bir denemede yakalan balık miktarı kilogram cinsinden.</t>
        </r>
      </text>
    </comment>
    <comment ref="O5" authorId="0" shapeId="0">
      <text>
        <r>
          <rPr>
            <b/>
            <sz val="9"/>
            <color indexed="81"/>
            <rFont val="Tahoma"/>
            <family val="2"/>
            <charset val="162"/>
          </rPr>
          <t>Yazar:</t>
        </r>
        <r>
          <rPr>
            <sz val="9"/>
            <color indexed="81"/>
            <rFont val="Tahoma"/>
            <family val="2"/>
            <charset val="162"/>
          </rPr>
          <t xml:space="preserve">
Çalıştığımız birim alandaki stok yoğunluğunu bulmak için avlanan balık miktarını birim alanımızın metrekaresine bölüyoruz. Bulduğumuz sonuç metrekaredeki balık miktarının kilogram cinsinden ifadesi olur.</t>
        </r>
      </text>
    </comment>
    <comment ref="R5" authorId="0" shapeId="0">
      <text>
        <r>
          <rPr>
            <b/>
            <sz val="9"/>
            <color indexed="81"/>
            <rFont val="Tahoma"/>
            <family val="2"/>
            <charset val="162"/>
          </rPr>
          <t>Yazar:</t>
        </r>
        <r>
          <rPr>
            <sz val="9"/>
            <color indexed="81"/>
            <rFont val="Tahoma"/>
            <family val="2"/>
            <charset val="162"/>
          </rPr>
          <t xml:space="preserve">
Birim alandaki metrekareye düşen kilogram balık miktarını bulduktan sonra bunu istasyonumuzun (avlak sahamızın ya da bölgemizin) toplam alanıyla çarpıp tüm alandaki balık miktarını hesaplıyoruz</t>
        </r>
      </text>
    </comment>
    <comment ref="A6" authorId="0" shapeId="0">
      <text>
        <r>
          <rPr>
            <b/>
            <sz val="9"/>
            <color indexed="81"/>
            <rFont val="Tahoma"/>
            <family val="2"/>
            <charset val="162"/>
          </rPr>
          <t>Yazar:</t>
        </r>
        <r>
          <rPr>
            <sz val="9"/>
            <color indexed="81"/>
            <rFont val="Tahoma"/>
            <family val="2"/>
            <charset val="162"/>
          </rPr>
          <t xml:space="preserve">
Denemeler için yeterli gördüğümüz sayıda farklı göz açıklığına sahip ağlarla bir "ağ takımı" oluşturuyoruz.</t>
        </r>
      </text>
    </comment>
    <comment ref="B6" authorId="0" shapeId="0">
      <text>
        <r>
          <rPr>
            <b/>
            <sz val="9"/>
            <color indexed="81"/>
            <rFont val="Tahoma"/>
            <family val="2"/>
            <charset val="162"/>
          </rPr>
          <t>Yazar:</t>
        </r>
        <r>
          <rPr>
            <sz val="9"/>
            <color indexed="81"/>
            <rFont val="Tahoma"/>
            <family val="2"/>
            <charset val="162"/>
          </rPr>
          <t xml:space="preserve">
Karşılıklı iki düğüm arasındaki mesafe (karenin iki kenarının uzunluğu)</t>
        </r>
      </text>
    </comment>
    <comment ref="C6" authorId="0" shapeId="0">
      <text>
        <r>
          <rPr>
            <b/>
            <sz val="9"/>
            <color indexed="81"/>
            <rFont val="Tahoma"/>
            <family val="2"/>
            <charset val="162"/>
          </rPr>
          <t>Yazar:</t>
        </r>
        <r>
          <rPr>
            <sz val="9"/>
            <color indexed="81"/>
            <rFont val="Tahoma"/>
            <family val="2"/>
            <charset val="162"/>
          </rPr>
          <t xml:space="preserve">
Mantar yakanın uzunluğu</t>
        </r>
      </text>
    </comment>
    <comment ref="D6" authorId="0" shapeId="0">
      <text>
        <r>
          <rPr>
            <b/>
            <sz val="9"/>
            <color indexed="81"/>
            <rFont val="Tahoma"/>
            <family val="2"/>
            <charset val="162"/>
          </rPr>
          <t>Yazar:</t>
        </r>
        <r>
          <rPr>
            <sz val="9"/>
            <color indexed="81"/>
            <rFont val="Tahoma"/>
            <family val="2"/>
            <charset val="162"/>
          </rPr>
          <t xml:space="preserve">
Mantar yakadar kurşun yaka istikametine kaç gözden oluştuğunu ifade eder (genelde  iki tip kullanılır tam boy :100 göz, yarım boy: 50 göz) sığ bölgelerde avcılık yapanlar yarım boy tercih eder</t>
        </r>
      </text>
    </comment>
    <comment ref="E6" authorId="0" shapeId="0">
      <text>
        <r>
          <rPr>
            <b/>
            <sz val="9"/>
            <color indexed="81"/>
            <rFont val="Tahoma"/>
            <family val="2"/>
            <charset val="162"/>
          </rPr>
          <t>Yazar:</t>
        </r>
        <r>
          <rPr>
            <sz val="9"/>
            <color indexed="81"/>
            <rFont val="Tahoma"/>
            <family val="2"/>
            <charset val="162"/>
          </rPr>
          <t xml:space="preserve">
Ağın derinliğinin metre cinsinden ifadesidir. Ağ göz açıklığı, ağın derinliğine göz sayısı ve 0,866 sabit katsayısının  çarpımı ile bulunur </t>
        </r>
      </text>
    </comment>
    <comment ref="F6" authorId="0" shapeId="0">
      <text>
        <r>
          <rPr>
            <b/>
            <sz val="9"/>
            <color indexed="81"/>
            <rFont val="Tahoma"/>
            <family val="2"/>
            <charset val="162"/>
          </rPr>
          <t>Yazar:</t>
        </r>
        <r>
          <rPr>
            <sz val="9"/>
            <color indexed="81"/>
            <rFont val="Tahoma"/>
            <family val="2"/>
            <charset val="162"/>
          </rPr>
          <t xml:space="preserve">
Hesaplanan ağın derinliği ile ağın uzunluğunun(mantar yaka uzunluğu)  çarpımı ile hesaplanır</t>
        </r>
      </text>
    </comment>
    <comment ref="G6" authorId="0" shapeId="0">
      <text>
        <r>
          <rPr>
            <b/>
            <sz val="9"/>
            <color indexed="81"/>
            <rFont val="Tahoma"/>
            <family val="2"/>
            <charset val="162"/>
          </rPr>
          <t>Yazar:</t>
        </r>
        <r>
          <rPr>
            <sz val="9"/>
            <color indexed="81"/>
            <rFont val="Tahoma"/>
            <family val="2"/>
            <charset val="162"/>
          </rPr>
          <t xml:space="preserve">
Her bir ağ için hesaplanan alanların toplamıdır. Bulunan değer bizim birim alanımızdır.</t>
        </r>
      </text>
    </comment>
    <comment ref="I6" authorId="0" shapeId="0">
      <text>
        <r>
          <rPr>
            <b/>
            <sz val="9"/>
            <color indexed="81"/>
            <rFont val="Tahoma"/>
            <family val="2"/>
            <charset val="162"/>
          </rPr>
          <t>Yazar:</t>
        </r>
        <r>
          <rPr>
            <sz val="9"/>
            <color indexed="81"/>
            <rFont val="Tahoma"/>
            <family val="2"/>
            <charset val="162"/>
          </rPr>
          <t xml:space="preserve">
Yapılan avcılık operasyonu sayısı</t>
        </r>
      </text>
    </comment>
    <comment ref="J6" authorId="0" shapeId="0">
      <text>
        <r>
          <rPr>
            <b/>
            <sz val="9"/>
            <color indexed="81"/>
            <rFont val="Tahoma"/>
            <family val="2"/>
            <charset val="162"/>
          </rPr>
          <t>Yazar:</t>
        </r>
        <r>
          <rPr>
            <sz val="9"/>
            <color indexed="81"/>
            <rFont val="Tahoma"/>
            <family val="2"/>
            <charset val="162"/>
          </rPr>
          <t xml:space="preserve">
Dursun Avşar hoca cyprinidlerin kışın az hareket etmesi nedeniyle denemelerini mayıs-ekim arası yapmış fakat sizler sezon süresince ya da uygun bulduğunuz bir dönemde de yapabilirsiniz</t>
        </r>
      </text>
    </comment>
    <comment ref="K6" authorId="0" shapeId="0">
      <text>
        <r>
          <rPr>
            <b/>
            <sz val="9"/>
            <color indexed="81"/>
            <rFont val="Tahoma"/>
            <family val="2"/>
            <charset val="162"/>
          </rPr>
          <t>Yazar:</t>
        </r>
        <r>
          <rPr>
            <sz val="9"/>
            <color indexed="81"/>
            <rFont val="Tahoma"/>
            <family val="2"/>
            <charset val="162"/>
          </rPr>
          <t xml:space="preserve">
her operasyonda aynı ağ takımı kullanıldığı için hesaplanmış olan tüm ağların alanı</t>
        </r>
      </text>
    </comment>
    <comment ref="B16" authorId="0" shapeId="0">
      <text>
        <r>
          <rPr>
            <b/>
            <sz val="9"/>
            <color indexed="81"/>
            <rFont val="Tahoma"/>
            <family val="2"/>
            <charset val="162"/>
          </rPr>
          <t>Yazar:</t>
        </r>
        <r>
          <rPr>
            <sz val="9"/>
            <color indexed="81"/>
            <rFont val="Tahoma"/>
            <family val="2"/>
            <charset val="162"/>
          </rPr>
          <t xml:space="preserve">
Çalışma alanının vejetasyon, eğim, besin girdisi gibi durumları gözetilerek farklı istasyonlara ayrılabilir ya da avlak sahası bazında çalışılaiblir. Böyle durumlarda belirlenen her bir istasyonun (bölgenin) alanı bilinmelidir. </t>
        </r>
      </text>
    </comment>
    <comment ref="R18" authorId="0" shapeId="0">
      <text>
        <r>
          <rPr>
            <b/>
            <sz val="9"/>
            <color indexed="81"/>
            <rFont val="Tahoma"/>
            <family val="2"/>
            <charset val="162"/>
          </rPr>
          <t>Yazar:</t>
        </r>
        <r>
          <rPr>
            <sz val="9"/>
            <color indexed="81"/>
            <rFont val="Tahoma"/>
            <family val="2"/>
            <charset val="162"/>
          </rPr>
          <t xml:space="preserve">
Eğer toplam alanın stoğu hesaplanacaksa bu alanları toplayım genel sonuca ulaşabiliriz. Unutmayınızki bulunan sonuç avlanmasına müsaade edeceğimiz miktar demek değil, kullandığımız apların seçiciliği sınırları arasında kalan balık miktarıdır.</t>
        </r>
      </text>
    </comment>
    <comment ref="I21" authorId="0" shapeId="0">
      <text>
        <r>
          <rPr>
            <b/>
            <sz val="9"/>
            <color indexed="81"/>
            <rFont val="Tahoma"/>
            <family val="2"/>
            <charset val="162"/>
          </rPr>
          <t>Yazar:</t>
        </r>
        <r>
          <rPr>
            <sz val="9"/>
            <color indexed="81"/>
            <rFont val="Tahoma"/>
            <family val="2"/>
            <charset val="162"/>
          </rPr>
          <t xml:space="preserve">
Stok işletme oranı başka bir deyişle stoktan yararlanma oranıdır, Bu oranı yüksek av baskısı altında olan aşırı sömürülen veya geç cinsel olgunluğa erişen türler için daha düşük hızlı büyüyen ya da yıpranmamış stoklar için daha yüksek alabilirsiniz</t>
        </r>
      </text>
    </comment>
    <comment ref="T21" authorId="0" shapeId="0">
      <text>
        <r>
          <rPr>
            <b/>
            <sz val="9"/>
            <color indexed="81"/>
            <rFont val="Tahoma"/>
            <family val="2"/>
            <charset val="162"/>
          </rPr>
          <t>Yazar:</t>
        </r>
        <r>
          <rPr>
            <sz val="9"/>
            <color indexed="81"/>
            <rFont val="Tahoma"/>
            <family val="2"/>
            <charset val="162"/>
          </rPr>
          <t xml:space="preserve">
Tüm avcılıklarımızda tür bazında avladığımız balık miktarları</t>
        </r>
      </text>
    </comment>
    <comment ref="U21" authorId="0" shapeId="0">
      <text>
        <r>
          <rPr>
            <b/>
            <sz val="9"/>
            <color indexed="81"/>
            <rFont val="Tahoma"/>
            <family val="2"/>
            <charset val="162"/>
          </rPr>
          <t>Yazar:</t>
        </r>
        <r>
          <rPr>
            <sz val="9"/>
            <color indexed="81"/>
            <rFont val="Tahoma"/>
            <family val="2"/>
            <charset val="162"/>
          </rPr>
          <t xml:space="preserve">
Avladığımız toplam avdaki ticari türlerin oranını aynı zamanda populasyondaki oranı olarak da kabul edebiliriz.</t>
        </r>
      </text>
    </comment>
    <comment ref="P22" authorId="0" shapeId="0">
      <text>
        <r>
          <rPr>
            <b/>
            <sz val="9"/>
            <color indexed="81"/>
            <rFont val="Tahoma"/>
            <family val="2"/>
            <charset val="162"/>
          </rPr>
          <t>Yazar:</t>
        </r>
        <r>
          <rPr>
            <sz val="9"/>
            <color indexed="81"/>
            <rFont val="Tahoma"/>
            <family val="2"/>
            <charset val="162"/>
          </rPr>
          <t xml:space="preserve">
Sonuç olarak bulduğumuz toplam stok miktarını uygun bulduğumuz E değeriyle çarpıp  kiralamaya eas stok miktarını tahmin etmiş oluyoruz.</t>
        </r>
      </text>
    </comment>
  </commentList>
</comments>
</file>

<file path=xl/sharedStrings.xml><?xml version="1.0" encoding="utf-8"?>
<sst xmlns="http://schemas.openxmlformats.org/spreadsheetml/2006/main" count="64" uniqueCount="52">
  <si>
    <r>
      <t>671km</t>
    </r>
    <r>
      <rPr>
        <vertAlign val="superscript"/>
        <sz val="11"/>
        <color theme="1"/>
        <rFont val="Calibri"/>
        <family val="2"/>
        <charset val="162"/>
        <scheme val="minor"/>
      </rPr>
      <t xml:space="preserve">2 </t>
    </r>
  </si>
  <si>
    <t>Balıkçı Sayısı</t>
  </si>
  <si>
    <t>Ticari Türler</t>
  </si>
  <si>
    <t>Avcılık No:</t>
  </si>
  <si>
    <t>Ağ göz açıklığı (mm)</t>
  </si>
  <si>
    <t>Ağ uzunluğu (m)</t>
  </si>
  <si>
    <t>Ağın Derinliği (m)</t>
  </si>
  <si>
    <t>Avcılık Tarihi</t>
  </si>
  <si>
    <t>Avlanan Miktarlar (kg)</t>
  </si>
  <si>
    <t>1. İst.</t>
  </si>
  <si>
    <t>2. ist.</t>
  </si>
  <si>
    <t>3. ist.</t>
  </si>
  <si>
    <t>1. İst</t>
  </si>
  <si>
    <t>2. ist</t>
  </si>
  <si>
    <t>3. ist</t>
  </si>
  <si>
    <t>İstasyonların alanları (km2)</t>
  </si>
  <si>
    <t>Ortalama (kg)</t>
  </si>
  <si>
    <t xml:space="preserve">E=0,5 alınırsa </t>
  </si>
  <si>
    <t>E=0,3 alınırsa</t>
  </si>
  <si>
    <t>Toplam Biyomas (ton)</t>
  </si>
  <si>
    <t>E=0,4 alınırsa</t>
  </si>
  <si>
    <r>
      <t>210 km</t>
    </r>
    <r>
      <rPr>
        <vertAlign val="superscript"/>
        <sz val="11"/>
        <color theme="1"/>
        <rFont val="Calibri"/>
        <family val="2"/>
        <charset val="162"/>
        <scheme val="minor"/>
      </rPr>
      <t>2</t>
    </r>
  </si>
  <si>
    <r>
      <t>230 km</t>
    </r>
    <r>
      <rPr>
        <vertAlign val="superscript"/>
        <sz val="11"/>
        <color theme="1"/>
        <rFont val="Calibri"/>
        <family val="2"/>
        <charset val="162"/>
        <scheme val="minor"/>
      </rPr>
      <t>2</t>
    </r>
  </si>
  <si>
    <r>
      <t>231 km</t>
    </r>
    <r>
      <rPr>
        <vertAlign val="superscript"/>
        <sz val="11"/>
        <color theme="1"/>
        <rFont val="Calibri"/>
        <family val="2"/>
        <charset val="162"/>
        <scheme val="minor"/>
      </rPr>
      <t>2</t>
    </r>
  </si>
  <si>
    <r>
      <t>m</t>
    </r>
    <r>
      <rPr>
        <vertAlign val="superscript"/>
        <sz val="11"/>
        <color theme="1"/>
        <rFont val="Calibri"/>
        <family val="2"/>
        <charset val="162"/>
        <scheme val="minor"/>
      </rPr>
      <t>2</t>
    </r>
  </si>
  <si>
    <r>
      <t>Ağın Alanı (m</t>
    </r>
    <r>
      <rPr>
        <vertAlign val="superscript"/>
        <sz val="11"/>
        <color theme="1"/>
        <rFont val="Calibri"/>
        <family val="2"/>
        <charset val="162"/>
        <scheme val="minor"/>
      </rPr>
      <t>2</t>
    </r>
    <r>
      <rPr>
        <sz val="11"/>
        <color theme="1"/>
        <rFont val="Calibri"/>
        <family val="2"/>
        <charset val="162"/>
        <scheme val="minor"/>
      </rPr>
      <t>)</t>
    </r>
  </si>
  <si>
    <r>
      <t>Tüm Ağların Alanı (m</t>
    </r>
    <r>
      <rPr>
        <vertAlign val="superscript"/>
        <sz val="11"/>
        <color theme="1"/>
        <rFont val="Calibri"/>
        <family val="2"/>
        <charset val="162"/>
        <scheme val="minor"/>
      </rPr>
      <t>2</t>
    </r>
    <r>
      <rPr>
        <sz val="11"/>
        <color theme="1"/>
        <rFont val="Calibri"/>
        <family val="2"/>
        <scheme val="minor"/>
      </rPr>
      <t>)</t>
    </r>
  </si>
  <si>
    <t>Ağlar</t>
  </si>
  <si>
    <t>Toplam Stok (kg)</t>
  </si>
  <si>
    <t>….. Baraj Gölü</t>
  </si>
  <si>
    <t>0,5 donam faktörüyle donanmış bir ağın derinliğini hesaplamak için kullanılan sabit katsayı</t>
  </si>
  <si>
    <t>NOT: Sonuçta her bir tür için ayrı bir stok hesaplayacaksak eğer  her avcılıkta yakaladığımız balıkların ağırlıkça oranlarını tespit etmemiz lazım. Böylece toplamda şu kadar avcılık yaptık şu akdar kilo balık yakaladık bunun %20 si şu türdendi dolayısıyla tespit ettiğimiz stoktaki oranıda budur diyebiliriz.</t>
  </si>
  <si>
    <r>
      <t>Ağların alanı (m</t>
    </r>
    <r>
      <rPr>
        <vertAlign val="superscript"/>
        <sz val="11"/>
        <color theme="1"/>
        <rFont val="Calibri"/>
        <family val="2"/>
        <charset val="162"/>
        <scheme val="minor"/>
      </rPr>
      <t>2</t>
    </r>
    <r>
      <rPr>
        <sz val="11"/>
        <color theme="1"/>
        <rFont val="Calibri"/>
        <family val="2"/>
        <scheme val="minor"/>
      </rPr>
      <t>)</t>
    </r>
  </si>
  <si>
    <t>Derinlik Göz Sayısı (adet)</t>
  </si>
  <si>
    <t>Birim alandaki stok yoğunluğu (kg/m2)</t>
  </si>
  <si>
    <t>E= 0,3 ile 0,6 arasında tercih edilebilir, ideal değeri 0,5 olarak kabul edilir</t>
  </si>
  <si>
    <t>Avlanabilir Stok (kiralamaya esas) =</t>
  </si>
  <si>
    <t>Avşar, D., C. E. Özyurt, E. Çiçek, H. Yeldan, M. Özütok, 2000. A Study on the Biomass Estimation of the Carp (Cyprinus carpio, Linnaeus, 1758) and Pike-Perch (Sander lucioperca, Bogustkaya&amp;Naseka, 1996) Inhabiting in Seyhan Dam Lake (in Turkish). XI. Ulusal Su Ürünleri Sempozyumu, 4-6 Eylül 2001, Hatay, 103-118.</t>
  </si>
  <si>
    <t>Rapor örneği</t>
  </si>
  <si>
    <r>
      <t xml:space="preserve">Baraj gölünün …. Avlaksahalarında belirlenen  … istasyonda  …. - … göz açıklığına sahip  … adet uzatma ağları kullanılarak   …..  İle  ….. Tarihleri arasında avcılık operasyonları düzenlenmiştir. Denemeler sonucunda   ………. türlerinden toplam …. Kg balık yakalanmış olup toplam avın ağırlığına göre dağılımı ise şu şekildedir.  ... türü %...., ... türü: 5... vs.   Stok büyüklüğünün tahmininde Avşar ve diğ. (2000)’in önerdiği “Uzatma Ağlarıyla Avcılık Yöntemi”nden yararlanılmıştır.  her bir bölge için hesaplanan toplam stok değerleri tabloda görülmektedir. (stokların hesaplandığı tablo rapora konabilir).  Ayrıca baraj gölündeki avcılık baskısı ya da ..... faktörler dikkate alındığında stoktan yararlanma düzeyinin Gulland (1971),  E= .... olarak alınması uygun bulunmaktadır bu durumda yıllık kiralamaya esas stok miktarı .... ton/yıl olarak </t>
    </r>
    <r>
      <rPr>
        <b/>
        <u/>
        <sz val="11"/>
        <color theme="1"/>
        <rFont val="Calibri"/>
        <family val="2"/>
        <charset val="162"/>
        <scheme val="minor"/>
      </rPr>
      <t>tahmin edilmiştir.</t>
    </r>
  </si>
  <si>
    <r>
      <rPr>
        <sz val="11"/>
        <color theme="1"/>
        <rFont val="Calibri"/>
        <family val="2"/>
        <charset val="162"/>
        <scheme val="minor"/>
      </rPr>
      <t>Gulland, 1971</t>
    </r>
    <r>
      <rPr>
        <b/>
        <sz val="11"/>
        <color theme="1"/>
        <rFont val="Calibri"/>
        <family val="2"/>
        <charset val="162"/>
        <scheme val="minor"/>
      </rPr>
      <t>.</t>
    </r>
    <r>
      <rPr>
        <sz val="11"/>
        <color theme="1"/>
        <rFont val="Calibri"/>
        <family val="2"/>
        <charset val="162"/>
        <scheme val="minor"/>
      </rPr>
      <t xml:space="preserve"> The Fish Resources of the Ocean. West By fleet, Surrey, Fishing News (Books) Ltd., England.</t>
    </r>
  </si>
  <si>
    <t>Bunları da raporun altına kaynak olarak ekleyebilirsiniz</t>
  </si>
  <si>
    <t>L.esocinus</t>
  </si>
  <si>
    <t>O.mykiss</t>
  </si>
  <si>
    <t>C.carpio (aynalı)</t>
  </si>
  <si>
    <t>C.carpio(pullu)</t>
  </si>
  <si>
    <t>C. Carpio (2 tür), Luciobarbus esocinus, Luciobarbus xanthopterus, Luciobarbus mystaceus. Capoeta trutta, Oncorhynchus mykiss. Capoeta umbla vs…</t>
  </si>
  <si>
    <t>C.umbla</t>
  </si>
  <si>
    <t>C.trutta</t>
  </si>
  <si>
    <t>L.mystaceus</t>
  </si>
  <si>
    <t>Toplam</t>
  </si>
  <si>
    <t>Türlerin toplam avdaki oranları</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</si>
</sst>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vertAlign val="superscript"/>
      <sz val="11"/>
      <color theme="1"/>
      <name val="Calibri"/>
      <family val="2"/>
      <charset val="162"/>
      <scheme val="minor"/>
    </font>
    <font>
      <b/>
      <sz val="11"/>
      <color theme="1"/>
      <name val="Calibri"/>
      <family val="2"/>
      <charset val="162"/>
      <scheme val="minor"/>
    </font>
    <font>
      <sz val="9"/>
      <color indexed="81"/>
      <name val="Tahoma"/>
      <family val="2"/>
      <charset val="162"/>
    </font>
    <font>
      <b/>
      <sz val="9"/>
      <color indexed="81"/>
      <name val="Tahoma"/>
      <family val="2"/>
      <charset val="162"/>
    </font>
    <font>
      <b/>
      <u/>
      <sz val="11"/>
      <color theme="1"/>
      <name val="Calibri"/>
      <family val="2"/>
      <charset val="162"/>
      <scheme val="minor"/>
    </font>
    <font>
      <i/>
      <sz val="11"/>
      <color theme="1"/>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3"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wrapText="1"/>
    </xf>
    <xf numFmtId="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NumberForma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Sayfa2!$S$23:$S$29</c:f>
              <c:strCache>
                <c:ptCount val="7"/>
                <c:pt idx="0">
                  <c:v>C.carpio (aynalı)</c:v>
                </c:pt>
                <c:pt idx="1">
                  <c:v>C.carpio(pullu)</c:v>
                </c:pt>
                <c:pt idx="2">
                  <c:v>L.esocinus</c:v>
                </c:pt>
                <c:pt idx="3">
                  <c:v>O.mykiss</c:v>
                </c:pt>
                <c:pt idx="4">
                  <c:v>C.umbla</c:v>
                </c:pt>
                <c:pt idx="5">
                  <c:v>C.trutta</c:v>
                </c:pt>
                <c:pt idx="6">
                  <c:v>L.mystaceus</c:v>
                </c:pt>
              </c:strCache>
            </c:strRef>
          </c:cat>
          <c:val>
            <c:numRef>
              <c:f>Sayfa2!$T$23:$T$29</c:f>
              <c:numCache>
                <c:formatCode>General</c:formatCode>
                <c:ptCount val="7"/>
                <c:pt idx="0">
                  <c:v>30</c:v>
                </c:pt>
                <c:pt idx="1">
                  <c:v>35</c:v>
                </c:pt>
                <c:pt idx="2">
                  <c:v>22</c:v>
                </c:pt>
                <c:pt idx="3">
                  <c:v>23.5</c:v>
                </c:pt>
                <c:pt idx="4">
                  <c:v>24</c:v>
                </c:pt>
                <c:pt idx="5">
                  <c:v>18</c:v>
                </c:pt>
                <c:pt idx="6">
                  <c:v>35</c:v>
                </c:pt>
              </c:numCache>
            </c:numRef>
          </c:val>
        </c:ser>
        <c:dLbls>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21</xdr:col>
      <xdr:colOff>259080</xdr:colOff>
      <xdr:row>19</xdr:row>
      <xdr:rowOff>175260</xdr:rowOff>
    </xdr:from>
    <xdr:to>
      <xdr:col>27</xdr:col>
      <xdr:colOff>358140</xdr:colOff>
      <xdr:row>32</xdr:row>
      <xdr:rowOff>60960</xdr:rowOff>
    </xdr:to>
    <xdr:graphicFrame macro="">
      <xdr:nvGraphicFramePr>
        <xdr:cNvPr id="2" name="Grafik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44"/>
  <sheetViews>
    <sheetView tabSelected="1" topLeftCell="F1" zoomScaleNormal="100" workbookViewId="0">
      <selection activeCell="U12" sqref="U12"/>
    </sheetView>
  </sheetViews>
  <sheetFormatPr defaultColWidth="9.140625" defaultRowHeight="15" x14ac:dyDescent="0.25"/>
  <cols>
    <col min="1" max="1" width="8.5703125" style="4" customWidth="1"/>
    <col min="2" max="2" width="13.140625" style="4" customWidth="1"/>
    <col min="3" max="3" width="13.7109375" style="4" customWidth="1"/>
    <col min="4" max="4" width="14" style="4" customWidth="1"/>
    <col min="5" max="5" width="11.140625" style="4" bestFit="1" customWidth="1"/>
    <col min="6" max="6" width="10.140625" style="4" bestFit="1" customWidth="1"/>
    <col min="7" max="7" width="11.85546875" style="4" customWidth="1"/>
    <col min="8" max="8" width="4.28515625" style="4" customWidth="1"/>
    <col min="9" max="9" width="15.7109375" style="4" customWidth="1"/>
    <col min="10" max="10" width="13.7109375" style="4" customWidth="1"/>
    <col min="11" max="14" width="9.28515625" style="4" bestFit="1" customWidth="1"/>
    <col min="15" max="15" width="14.28515625" style="4" customWidth="1"/>
    <col min="16" max="20" width="14" style="4" bestFit="1" customWidth="1"/>
    <col min="21" max="21" width="16.7109375" style="4" customWidth="1"/>
    <col min="22" max="16384" width="9.140625" style="4"/>
  </cols>
  <sheetData>
    <row r="1" spans="1:20" ht="17.25" x14ac:dyDescent="0.25">
      <c r="A1" s="10" t="s">
        <v>29</v>
      </c>
      <c r="B1" s="10"/>
      <c r="C1" s="10"/>
      <c r="D1" s="4" t="s">
        <v>0</v>
      </c>
      <c r="E1" s="1">
        <v>671000000</v>
      </c>
      <c r="F1" s="4" t="s">
        <v>24</v>
      </c>
    </row>
    <row r="2" spans="1:20" x14ac:dyDescent="0.25">
      <c r="A2" s="10" t="s">
        <v>1</v>
      </c>
      <c r="B2" s="10"/>
      <c r="C2" s="10"/>
      <c r="D2" s="4">
        <v>200</v>
      </c>
    </row>
    <row r="3" spans="1:20" ht="60" customHeight="1" x14ac:dyDescent="0.25">
      <c r="A3" s="10" t="s">
        <v>2</v>
      </c>
      <c r="B3" s="10"/>
      <c r="C3" s="10"/>
      <c r="D3" s="10" t="s">
        <v>46</v>
      </c>
      <c r="E3" s="10"/>
      <c r="F3" s="10"/>
    </row>
    <row r="5" spans="1:20" ht="30" customHeight="1" x14ac:dyDescent="0.25">
      <c r="L5" s="10" t="s">
        <v>8</v>
      </c>
      <c r="M5" s="10"/>
      <c r="N5" s="10"/>
      <c r="O5" s="10" t="s">
        <v>34</v>
      </c>
      <c r="P5" s="10"/>
      <c r="Q5" s="10"/>
      <c r="R5" s="10" t="s">
        <v>28</v>
      </c>
      <c r="S5" s="10"/>
      <c r="T5" s="10"/>
    </row>
    <row r="6" spans="1:20" ht="29.25" customHeight="1" x14ac:dyDescent="0.25">
      <c r="A6" s="4" t="s">
        <v>27</v>
      </c>
      <c r="B6" s="4" t="s">
        <v>4</v>
      </c>
      <c r="C6" s="4" t="s">
        <v>5</v>
      </c>
      <c r="D6" s="4" t="s">
        <v>33</v>
      </c>
      <c r="E6" s="4" t="s">
        <v>6</v>
      </c>
      <c r="F6" s="4" t="s">
        <v>25</v>
      </c>
      <c r="G6" s="4" t="s">
        <v>26</v>
      </c>
      <c r="I6" s="4" t="s">
        <v>3</v>
      </c>
      <c r="J6" s="4" t="s">
        <v>7</v>
      </c>
      <c r="K6" s="4" t="s">
        <v>32</v>
      </c>
      <c r="L6" s="4" t="s">
        <v>9</v>
      </c>
      <c r="M6" s="4" t="s">
        <v>10</v>
      </c>
      <c r="N6" s="4" t="s">
        <v>11</v>
      </c>
      <c r="O6" s="4" t="s">
        <v>9</v>
      </c>
      <c r="P6" s="4" t="s">
        <v>10</v>
      </c>
      <c r="Q6" s="4" t="s">
        <v>11</v>
      </c>
      <c r="R6" s="4" t="s">
        <v>9</v>
      </c>
      <c r="S6" s="4" t="s">
        <v>10</v>
      </c>
      <c r="T6" s="4" t="s">
        <v>11</v>
      </c>
    </row>
    <row r="7" spans="1:20" x14ac:dyDescent="0.25">
      <c r="E7" s="4">
        <f>B7*D7*0.866/1000</f>
        <v>0</v>
      </c>
      <c r="F7" s="4">
        <f>C7*E7</f>
        <v>0</v>
      </c>
      <c r="G7" s="10">
        <f>SUM(F7:F13)</f>
        <v>0</v>
      </c>
      <c r="J7" s="2"/>
      <c r="K7" s="10">
        <f>G7</f>
        <v>0</v>
      </c>
      <c r="O7" s="4" t="e">
        <f>L7/$K$7</f>
        <v>#DIV/0!</v>
      </c>
      <c r="P7" s="4" t="e">
        <f>M7/$K$7</f>
        <v>#DIV/0!</v>
      </c>
      <c r="Q7" s="4" t="e">
        <f>N7/$K$7</f>
        <v>#DIV/0!</v>
      </c>
      <c r="R7" s="4" t="e">
        <f>O7*$C$17</f>
        <v>#DIV/0!</v>
      </c>
      <c r="S7" s="4" t="e">
        <f>P7*$C$18</f>
        <v>#DIV/0!</v>
      </c>
      <c r="T7" s="4" t="e">
        <f>Q7*$C$19</f>
        <v>#DIV/0!</v>
      </c>
    </row>
    <row r="8" spans="1:20" x14ac:dyDescent="0.25">
      <c r="C8" s="7"/>
      <c r="D8" s="7"/>
      <c r="E8" s="4">
        <f t="shared" ref="E8:E13" si="0">B8*D8*0.866/1000</f>
        <v>0</v>
      </c>
      <c r="F8" s="4">
        <f t="shared" ref="F8:F13" si="1">C8*E8</f>
        <v>0</v>
      </c>
      <c r="G8" s="10"/>
      <c r="J8" s="2"/>
      <c r="K8" s="10"/>
      <c r="O8" s="4" t="e">
        <f t="shared" ref="O8:O17" si="2">L8/$K$7</f>
        <v>#DIV/0!</v>
      </c>
      <c r="P8" s="4" t="e">
        <f t="shared" ref="P8:P17" si="3">M8/$K$7</f>
        <v>#DIV/0!</v>
      </c>
      <c r="Q8" s="4" t="e">
        <f t="shared" ref="Q8:Q17" si="4">N8/$K$7</f>
        <v>#DIV/0!</v>
      </c>
      <c r="R8" s="4" t="e">
        <f t="shared" ref="R8:R17" si="5">O8*$C$17</f>
        <v>#DIV/0!</v>
      </c>
      <c r="S8" s="4" t="e">
        <f t="shared" ref="S8:S17" si="6">P8*$C$18</f>
        <v>#DIV/0!</v>
      </c>
      <c r="T8" s="4" t="e">
        <f t="shared" ref="T8:T16" si="7">Q8*$C$19</f>
        <v>#DIV/0!</v>
      </c>
    </row>
    <row r="9" spans="1:20" x14ac:dyDescent="0.25">
      <c r="C9" s="7"/>
      <c r="D9" s="7"/>
      <c r="E9" s="4">
        <f t="shared" si="0"/>
        <v>0</v>
      </c>
      <c r="F9" s="4">
        <f t="shared" si="1"/>
        <v>0</v>
      </c>
      <c r="G9" s="10"/>
      <c r="J9" s="2"/>
      <c r="K9" s="10"/>
      <c r="O9" s="4" t="e">
        <f t="shared" si="2"/>
        <v>#DIV/0!</v>
      </c>
      <c r="P9" s="4" t="e">
        <f t="shared" si="3"/>
        <v>#DIV/0!</v>
      </c>
      <c r="Q9" s="4" t="e">
        <f t="shared" si="4"/>
        <v>#DIV/0!</v>
      </c>
      <c r="R9" s="4" t="e">
        <f t="shared" si="5"/>
        <v>#DIV/0!</v>
      </c>
      <c r="S9" s="4" t="e">
        <f t="shared" si="6"/>
        <v>#DIV/0!</v>
      </c>
      <c r="T9" s="4" t="e">
        <f t="shared" si="7"/>
        <v>#DIV/0!</v>
      </c>
    </row>
    <row r="10" spans="1:20" x14ac:dyDescent="0.25">
      <c r="B10" s="7"/>
      <c r="C10" s="7"/>
      <c r="D10" s="7"/>
      <c r="E10" s="4">
        <f t="shared" si="0"/>
        <v>0</v>
      </c>
      <c r="F10" s="4">
        <f t="shared" si="1"/>
        <v>0</v>
      </c>
      <c r="G10" s="10"/>
      <c r="J10" s="2"/>
      <c r="K10" s="10"/>
      <c r="O10" s="4" t="e">
        <f t="shared" si="2"/>
        <v>#DIV/0!</v>
      </c>
      <c r="P10" s="4" t="e">
        <f t="shared" si="3"/>
        <v>#DIV/0!</v>
      </c>
      <c r="Q10" s="4" t="e">
        <f t="shared" si="4"/>
        <v>#DIV/0!</v>
      </c>
      <c r="R10" s="4" t="e">
        <f t="shared" si="5"/>
        <v>#DIV/0!</v>
      </c>
      <c r="S10" s="4" t="e">
        <f t="shared" si="6"/>
        <v>#DIV/0!</v>
      </c>
      <c r="T10" s="4" t="e">
        <f t="shared" si="7"/>
        <v>#DIV/0!</v>
      </c>
    </row>
    <row r="11" spans="1:20" x14ac:dyDescent="0.25">
      <c r="B11" s="7"/>
      <c r="C11" s="7"/>
      <c r="D11" s="7"/>
      <c r="E11" s="4">
        <f t="shared" si="0"/>
        <v>0</v>
      </c>
      <c r="F11" s="4">
        <f t="shared" si="1"/>
        <v>0</v>
      </c>
      <c r="G11" s="10"/>
      <c r="J11" s="2"/>
      <c r="K11" s="10"/>
      <c r="O11" s="4" t="e">
        <f t="shared" si="2"/>
        <v>#DIV/0!</v>
      </c>
      <c r="P11" s="4" t="e">
        <f t="shared" si="3"/>
        <v>#DIV/0!</v>
      </c>
      <c r="Q11" s="4" t="e">
        <f t="shared" si="4"/>
        <v>#DIV/0!</v>
      </c>
      <c r="R11" s="4" t="e">
        <f t="shared" si="5"/>
        <v>#DIV/0!</v>
      </c>
      <c r="S11" s="4" t="e">
        <f t="shared" si="6"/>
        <v>#DIV/0!</v>
      </c>
      <c r="T11" s="4" t="e">
        <f t="shared" si="7"/>
        <v>#DIV/0!</v>
      </c>
    </row>
    <row r="12" spans="1:20" x14ac:dyDescent="0.25">
      <c r="B12" s="7"/>
      <c r="C12" s="7"/>
      <c r="D12" s="7"/>
      <c r="E12" s="4">
        <f t="shared" si="0"/>
        <v>0</v>
      </c>
      <c r="F12" s="4">
        <f t="shared" si="1"/>
        <v>0</v>
      </c>
      <c r="G12" s="10"/>
      <c r="J12" s="2"/>
      <c r="K12" s="10"/>
      <c r="O12" s="4" t="e">
        <f t="shared" si="2"/>
        <v>#DIV/0!</v>
      </c>
      <c r="P12" s="4" t="e">
        <f t="shared" si="3"/>
        <v>#DIV/0!</v>
      </c>
      <c r="Q12" s="4" t="e">
        <f t="shared" si="4"/>
        <v>#DIV/0!</v>
      </c>
      <c r="R12" s="4" t="e">
        <f t="shared" si="5"/>
        <v>#DIV/0!</v>
      </c>
      <c r="S12" s="4" t="e">
        <f t="shared" si="6"/>
        <v>#DIV/0!</v>
      </c>
      <c r="T12" s="4" t="e">
        <f t="shared" si="7"/>
        <v>#DIV/0!</v>
      </c>
    </row>
    <row r="13" spans="1:20" x14ac:dyDescent="0.25">
      <c r="B13" s="7"/>
      <c r="C13" s="7"/>
      <c r="D13" s="7"/>
      <c r="E13" s="4">
        <f t="shared" si="0"/>
        <v>0</v>
      </c>
      <c r="F13" s="4">
        <f t="shared" si="1"/>
        <v>0</v>
      </c>
      <c r="G13" s="10"/>
      <c r="J13" s="8"/>
      <c r="K13" s="10"/>
      <c r="O13" s="4" t="e">
        <f t="shared" si="2"/>
        <v>#DIV/0!</v>
      </c>
      <c r="P13" s="4" t="e">
        <f t="shared" si="3"/>
        <v>#DIV/0!</v>
      </c>
      <c r="Q13" s="4" t="e">
        <f t="shared" si="4"/>
        <v>#DIV/0!</v>
      </c>
      <c r="R13" s="4" t="e">
        <f t="shared" si="5"/>
        <v>#DIV/0!</v>
      </c>
      <c r="S13" s="4" t="e">
        <f t="shared" si="6"/>
        <v>#DIV/0!</v>
      </c>
      <c r="T13" s="4" t="e">
        <f t="shared" si="7"/>
        <v>#DIV/0!</v>
      </c>
    </row>
    <row r="14" spans="1:20" x14ac:dyDescent="0.25">
      <c r="J14" s="8"/>
      <c r="K14" s="10"/>
      <c r="O14" s="4" t="e">
        <f t="shared" si="2"/>
        <v>#DIV/0!</v>
      </c>
      <c r="P14" s="4" t="e">
        <f t="shared" si="3"/>
        <v>#DIV/0!</v>
      </c>
      <c r="Q14" s="4" t="e">
        <f t="shared" si="4"/>
        <v>#DIV/0!</v>
      </c>
      <c r="R14" s="4" t="e">
        <f t="shared" si="5"/>
        <v>#DIV/0!</v>
      </c>
      <c r="S14" s="4" t="e">
        <f t="shared" si="6"/>
        <v>#DIV/0!</v>
      </c>
      <c r="T14" s="4" t="e">
        <f t="shared" si="7"/>
        <v>#DIV/0!</v>
      </c>
    </row>
    <row r="15" spans="1:20" x14ac:dyDescent="0.25">
      <c r="J15" s="8"/>
      <c r="K15" s="10"/>
      <c r="O15" s="4" t="e">
        <f t="shared" si="2"/>
        <v>#DIV/0!</v>
      </c>
      <c r="P15" s="4" t="e">
        <f t="shared" si="3"/>
        <v>#DIV/0!</v>
      </c>
      <c r="Q15" s="4" t="e">
        <f t="shared" si="4"/>
        <v>#DIV/0!</v>
      </c>
      <c r="R15" s="4" t="e">
        <f t="shared" si="5"/>
        <v>#DIV/0!</v>
      </c>
      <c r="S15" s="4" t="e">
        <f t="shared" si="6"/>
        <v>#DIV/0!</v>
      </c>
      <c r="T15" s="4" t="e">
        <f t="shared" si="7"/>
        <v>#DIV/0!</v>
      </c>
    </row>
    <row r="16" spans="1:20" x14ac:dyDescent="0.25">
      <c r="B16" s="10" t="s">
        <v>15</v>
      </c>
      <c r="C16" s="10"/>
      <c r="D16" s="10"/>
      <c r="J16" s="8"/>
      <c r="K16" s="10"/>
      <c r="O16" s="4" t="e">
        <f t="shared" si="2"/>
        <v>#DIV/0!</v>
      </c>
      <c r="P16" s="4" t="e">
        <f t="shared" si="3"/>
        <v>#DIV/0!</v>
      </c>
      <c r="Q16" s="4" t="e">
        <f t="shared" si="4"/>
        <v>#DIV/0!</v>
      </c>
      <c r="R16" s="4" t="e">
        <f t="shared" si="5"/>
        <v>#DIV/0!</v>
      </c>
      <c r="S16" s="4" t="e">
        <f t="shared" si="6"/>
        <v>#DIV/0!</v>
      </c>
      <c r="T16" s="4" t="e">
        <f t="shared" si="7"/>
        <v>#DIV/0!</v>
      </c>
    </row>
    <row r="17" spans="1:21" ht="19.5" customHeight="1" x14ac:dyDescent="0.25">
      <c r="A17" s="4" t="s">
        <v>12</v>
      </c>
      <c r="B17" s="4" t="s">
        <v>21</v>
      </c>
      <c r="C17" s="6">
        <f>210*1000000</f>
        <v>210000000</v>
      </c>
      <c r="D17" s="4" t="s">
        <v>24</v>
      </c>
      <c r="I17" s="4" t="s">
        <v>16</v>
      </c>
      <c r="L17" s="4" t="e">
        <f>AVERAGE(L7:L16)</f>
        <v>#DIV/0!</v>
      </c>
      <c r="M17" s="4" t="e">
        <f t="shared" ref="M17:N17" si="8">AVERAGE(M7:M16)</f>
        <v>#DIV/0!</v>
      </c>
      <c r="N17" s="4" t="e">
        <f t="shared" si="8"/>
        <v>#DIV/0!</v>
      </c>
      <c r="O17" s="4" t="e">
        <f t="shared" si="2"/>
        <v>#DIV/0!</v>
      </c>
      <c r="P17" s="4" t="e">
        <f t="shared" si="3"/>
        <v>#DIV/0!</v>
      </c>
      <c r="Q17" s="4" t="e">
        <f t="shared" si="4"/>
        <v>#DIV/0!</v>
      </c>
      <c r="R17" s="4" t="e">
        <f t="shared" si="5"/>
        <v>#DIV/0!</v>
      </c>
      <c r="S17" s="4" t="e">
        <f t="shared" si="6"/>
        <v>#DIV/0!</v>
      </c>
      <c r="T17" s="4" t="e">
        <f>Q17*$C$19</f>
        <v>#DIV/0!</v>
      </c>
    </row>
    <row r="18" spans="1:21" ht="16.5" customHeight="1" x14ac:dyDescent="0.25">
      <c r="A18" s="4" t="s">
        <v>13</v>
      </c>
      <c r="B18" s="4" t="s">
        <v>22</v>
      </c>
      <c r="C18" s="6">
        <v>230000000</v>
      </c>
      <c r="D18" s="4" t="s">
        <v>24</v>
      </c>
      <c r="I18" s="10" t="s">
        <v>19</v>
      </c>
      <c r="J18" s="10"/>
      <c r="R18" s="10" t="e">
        <f>SUM(R17:T17)/1000</f>
        <v>#DIV/0!</v>
      </c>
      <c r="S18" s="10"/>
      <c r="T18" s="10"/>
    </row>
    <row r="19" spans="1:21" ht="17.25" x14ac:dyDescent="0.25">
      <c r="A19" s="4" t="s">
        <v>14</v>
      </c>
      <c r="B19" s="4" t="s">
        <v>23</v>
      </c>
      <c r="C19" s="6">
        <v>231000000</v>
      </c>
      <c r="D19" s="4" t="s">
        <v>24</v>
      </c>
    </row>
    <row r="21" spans="1:21" ht="19.5" customHeight="1" x14ac:dyDescent="0.25">
      <c r="I21" s="10" t="s">
        <v>35</v>
      </c>
      <c r="J21" s="10"/>
      <c r="K21" s="10"/>
      <c r="L21" s="10"/>
      <c r="M21" s="10"/>
      <c r="N21" s="10"/>
      <c r="O21" s="10"/>
      <c r="T21" s="10" t="s">
        <v>8</v>
      </c>
      <c r="U21" s="10" t="s">
        <v>51</v>
      </c>
    </row>
    <row r="22" spans="1:21" ht="16.5" customHeight="1" x14ac:dyDescent="0.25">
      <c r="A22" s="10">
        <v>0.86599999999999999</v>
      </c>
      <c r="B22" s="10" t="s">
        <v>30</v>
      </c>
      <c r="C22" s="10"/>
      <c r="D22" s="10"/>
      <c r="E22" s="10"/>
      <c r="F22" s="3"/>
      <c r="I22" s="10" t="s">
        <v>17</v>
      </c>
      <c r="J22" s="10"/>
      <c r="K22" s="10"/>
      <c r="L22" s="10" t="s">
        <v>36</v>
      </c>
      <c r="M22" s="10"/>
      <c r="N22" s="10"/>
      <c r="O22" s="10"/>
      <c r="P22" s="4" t="e">
        <f>R18*0.5</f>
        <v>#DIV/0!</v>
      </c>
      <c r="T22" s="10"/>
      <c r="U22" s="10"/>
    </row>
    <row r="23" spans="1:21" ht="15" customHeight="1" x14ac:dyDescent="0.25">
      <c r="A23" s="10"/>
      <c r="B23" s="10"/>
      <c r="C23" s="10"/>
      <c r="D23" s="10"/>
      <c r="E23" s="10"/>
      <c r="I23" s="10" t="s">
        <v>18</v>
      </c>
      <c r="J23" s="10"/>
      <c r="K23" s="10"/>
      <c r="L23" s="10" t="s">
        <v>36</v>
      </c>
      <c r="M23" s="10"/>
      <c r="N23" s="10"/>
      <c r="O23" s="10"/>
      <c r="P23" s="4" t="e">
        <f>R18*0.3</f>
        <v>#DIV/0!</v>
      </c>
      <c r="S23" s="9" t="s">
        <v>44</v>
      </c>
      <c r="T23" s="4">
        <v>30</v>
      </c>
      <c r="U23" s="4">
        <f>T23*100/T$30</f>
        <v>16</v>
      </c>
    </row>
    <row r="24" spans="1:21" ht="15" customHeight="1" x14ac:dyDescent="0.25">
      <c r="I24" s="10" t="s">
        <v>20</v>
      </c>
      <c r="J24" s="10"/>
      <c r="K24" s="10"/>
      <c r="L24" s="10" t="s">
        <v>36</v>
      </c>
      <c r="M24" s="10"/>
      <c r="N24" s="10"/>
      <c r="O24" s="10"/>
      <c r="P24" s="4" t="e">
        <f>R18*0.4</f>
        <v>#DIV/0!</v>
      </c>
      <c r="S24" s="9" t="s">
        <v>45</v>
      </c>
      <c r="T24" s="4">
        <v>35</v>
      </c>
      <c r="U24" s="5">
        <f t="shared" ref="U24:U29" si="9">T24*100/T$30</f>
        <v>18.666666666666668</v>
      </c>
    </row>
    <row r="25" spans="1:21" x14ac:dyDescent="0.25">
      <c r="C25" s="1"/>
      <c r="S25" s="9" t="s">
        <v>42</v>
      </c>
      <c r="T25" s="4">
        <v>22</v>
      </c>
      <c r="U25" s="5">
        <f t="shared" si="9"/>
        <v>11.733333333333333</v>
      </c>
    </row>
    <row r="26" spans="1:21" x14ac:dyDescent="0.25">
      <c r="C26" s="1"/>
      <c r="S26" s="9" t="s">
        <v>43</v>
      </c>
      <c r="T26" s="4">
        <v>23.5</v>
      </c>
      <c r="U26" s="5">
        <f t="shared" si="9"/>
        <v>12.533333333333333</v>
      </c>
    </row>
    <row r="27" spans="1:21" ht="15" customHeight="1" x14ac:dyDescent="0.25">
      <c r="C27" s="10" t="s">
        <v>31</v>
      </c>
      <c r="D27" s="10"/>
      <c r="E27" s="10"/>
      <c r="F27" s="10"/>
      <c r="G27" s="10"/>
      <c r="H27" s="10"/>
      <c r="I27" s="10"/>
      <c r="J27" s="10"/>
      <c r="K27" s="10"/>
      <c r="L27" s="10"/>
      <c r="M27" s="10"/>
      <c r="S27" s="9" t="s">
        <v>47</v>
      </c>
      <c r="T27" s="4">
        <v>24</v>
      </c>
      <c r="U27" s="5">
        <f t="shared" si="9"/>
        <v>12.8</v>
      </c>
    </row>
    <row r="28" spans="1:21" x14ac:dyDescent="0.25">
      <c r="C28" s="10"/>
      <c r="D28" s="10"/>
      <c r="E28" s="10"/>
      <c r="F28" s="10"/>
      <c r="G28" s="10"/>
      <c r="H28" s="10"/>
      <c r="I28" s="10"/>
      <c r="J28" s="10"/>
      <c r="K28" s="10"/>
      <c r="L28" s="10"/>
      <c r="M28" s="10"/>
      <c r="S28" s="9" t="s">
        <v>48</v>
      </c>
      <c r="T28" s="4">
        <v>18</v>
      </c>
      <c r="U28" s="5">
        <f t="shared" si="9"/>
        <v>9.6</v>
      </c>
    </row>
    <row r="29" spans="1:21" x14ac:dyDescent="0.25">
      <c r="C29" s="10"/>
      <c r="D29" s="10"/>
      <c r="E29" s="10"/>
      <c r="F29" s="10"/>
      <c r="G29" s="10"/>
      <c r="H29" s="10"/>
      <c r="I29" s="10"/>
      <c r="J29" s="10"/>
      <c r="K29" s="10"/>
      <c r="L29" s="10"/>
      <c r="M29" s="10"/>
      <c r="S29" s="9" t="s">
        <v>49</v>
      </c>
      <c r="T29" s="4">
        <v>35</v>
      </c>
      <c r="U29" s="5">
        <f t="shared" si="9"/>
        <v>18.666666666666668</v>
      </c>
    </row>
    <row r="30" spans="1:21" x14ac:dyDescent="0.25">
      <c r="C30" s="10"/>
      <c r="D30" s="10"/>
      <c r="E30" s="10"/>
      <c r="F30" s="10"/>
      <c r="G30" s="10"/>
      <c r="H30" s="10"/>
      <c r="I30" s="10"/>
      <c r="J30" s="10"/>
      <c r="K30" s="10"/>
      <c r="L30" s="10"/>
      <c r="M30" s="10"/>
      <c r="S30" s="4" t="s">
        <v>50</v>
      </c>
      <c r="T30" s="4">
        <f>SUM(T23:T29)</f>
        <v>187.5</v>
      </c>
      <c r="U30" s="5">
        <f>SUM(U23:U29)</f>
        <v>100</v>
      </c>
    </row>
    <row r="31" spans="1:21" x14ac:dyDescent="0.25">
      <c r="F31" s="10" t="s">
        <v>38</v>
      </c>
      <c r="G31" s="10"/>
      <c r="H31" s="10"/>
      <c r="I31" s="10"/>
      <c r="J31" s="10"/>
    </row>
    <row r="32" spans="1:21" x14ac:dyDescent="0.25">
      <c r="B32" s="10" t="s">
        <v>39</v>
      </c>
      <c r="C32" s="10"/>
      <c r="D32" s="10"/>
      <c r="E32" s="10"/>
      <c r="F32" s="10"/>
      <c r="G32" s="10"/>
      <c r="H32" s="10"/>
      <c r="I32" s="10"/>
      <c r="J32" s="10"/>
      <c r="K32" s="10"/>
      <c r="L32" s="10"/>
      <c r="M32" s="10"/>
      <c r="N32" s="10"/>
      <c r="O32" s="10"/>
      <c r="P32" s="10"/>
      <c r="Q32" s="10"/>
    </row>
    <row r="33" spans="2:17" x14ac:dyDescent="0.25">
      <c r="B33" s="10"/>
      <c r="C33" s="10"/>
      <c r="D33" s="10"/>
      <c r="E33" s="10"/>
      <c r="F33" s="10"/>
      <c r="G33" s="10"/>
      <c r="H33" s="10"/>
      <c r="I33" s="10"/>
      <c r="J33" s="10"/>
      <c r="K33" s="10"/>
      <c r="L33" s="10"/>
      <c r="M33" s="10"/>
      <c r="N33" s="10"/>
      <c r="O33" s="10"/>
      <c r="P33" s="10"/>
      <c r="Q33" s="10"/>
    </row>
    <row r="34" spans="2:17" x14ac:dyDescent="0.25">
      <c r="B34" s="10"/>
      <c r="C34" s="10"/>
      <c r="D34" s="10"/>
      <c r="E34" s="10"/>
      <c r="F34" s="10"/>
      <c r="G34" s="10"/>
      <c r="H34" s="10"/>
      <c r="I34" s="10"/>
      <c r="J34" s="10"/>
      <c r="K34" s="10"/>
      <c r="L34" s="10"/>
      <c r="M34" s="10"/>
      <c r="N34" s="10"/>
      <c r="O34" s="10"/>
      <c r="P34" s="10"/>
      <c r="Q34" s="10"/>
    </row>
    <row r="35" spans="2:17" x14ac:dyDescent="0.25">
      <c r="B35" s="10"/>
      <c r="C35" s="10"/>
      <c r="D35" s="10"/>
      <c r="E35" s="10"/>
      <c r="F35" s="10"/>
      <c r="G35" s="10"/>
      <c r="H35" s="10"/>
      <c r="I35" s="10"/>
      <c r="J35" s="10"/>
      <c r="K35" s="10"/>
      <c r="L35" s="10"/>
      <c r="M35" s="10"/>
      <c r="N35" s="10"/>
      <c r="O35" s="10"/>
      <c r="P35" s="10"/>
      <c r="Q35" s="10"/>
    </row>
    <row r="36" spans="2:17" x14ac:dyDescent="0.25">
      <c r="B36" s="10"/>
      <c r="C36" s="10"/>
      <c r="D36" s="10"/>
      <c r="E36" s="10"/>
      <c r="F36" s="10"/>
      <c r="G36" s="10"/>
      <c r="H36" s="10"/>
      <c r="I36" s="10"/>
      <c r="J36" s="10"/>
      <c r="K36" s="10"/>
      <c r="L36" s="10"/>
      <c r="M36" s="10"/>
      <c r="N36" s="10"/>
      <c r="O36" s="10"/>
      <c r="P36" s="10"/>
      <c r="Q36" s="10"/>
    </row>
    <row r="37" spans="2:17" ht="14.25" customHeight="1" x14ac:dyDescent="0.25">
      <c r="B37" s="10"/>
      <c r="C37" s="10"/>
      <c r="D37" s="10"/>
      <c r="E37" s="10"/>
      <c r="F37" s="10"/>
      <c r="G37" s="10"/>
      <c r="H37" s="10"/>
      <c r="I37" s="10"/>
      <c r="J37" s="10"/>
      <c r="K37" s="10"/>
      <c r="L37" s="10"/>
      <c r="M37" s="10"/>
      <c r="N37" s="10"/>
      <c r="O37" s="10"/>
      <c r="P37" s="10"/>
      <c r="Q37" s="10"/>
    </row>
    <row r="38" spans="2:17" ht="11.25" hidden="1" customHeight="1" x14ac:dyDescent="0.25">
      <c r="B38" s="10"/>
      <c r="C38" s="10"/>
      <c r="D38" s="10"/>
      <c r="E38" s="10"/>
      <c r="F38" s="10"/>
      <c r="G38" s="10"/>
      <c r="H38" s="10"/>
      <c r="I38" s="10"/>
      <c r="J38" s="10"/>
      <c r="K38" s="10"/>
      <c r="L38" s="10"/>
      <c r="M38" s="10"/>
      <c r="N38" s="10"/>
      <c r="O38" s="10"/>
      <c r="P38" s="10"/>
      <c r="Q38" s="10"/>
    </row>
    <row r="39" spans="2:17" hidden="1" x14ac:dyDescent="0.25">
      <c r="B39" s="10"/>
      <c r="C39" s="10"/>
      <c r="D39" s="10"/>
      <c r="E39" s="10"/>
      <c r="F39" s="10"/>
      <c r="G39" s="10"/>
      <c r="H39" s="10"/>
      <c r="I39" s="10"/>
      <c r="J39" s="10"/>
      <c r="K39" s="10"/>
      <c r="L39" s="10"/>
      <c r="M39" s="10"/>
      <c r="N39" s="10"/>
      <c r="O39" s="10"/>
      <c r="P39" s="10"/>
      <c r="Q39" s="10"/>
    </row>
    <row r="40" spans="2:17" hidden="1" x14ac:dyDescent="0.25">
      <c r="B40" s="10"/>
      <c r="C40" s="10"/>
      <c r="D40" s="10"/>
      <c r="E40" s="10"/>
      <c r="F40" s="10"/>
      <c r="G40" s="10"/>
      <c r="H40" s="10"/>
      <c r="I40" s="10"/>
      <c r="J40" s="10"/>
      <c r="K40" s="10"/>
      <c r="L40" s="10"/>
      <c r="M40" s="10"/>
      <c r="N40" s="10"/>
      <c r="O40" s="10"/>
      <c r="P40" s="10"/>
      <c r="Q40" s="10"/>
    </row>
    <row r="41" spans="2:17" x14ac:dyDescent="0.25">
      <c r="B41" s="3"/>
      <c r="C41" s="3"/>
      <c r="D41" s="3"/>
      <c r="E41" s="3"/>
      <c r="F41" s="3"/>
      <c r="G41" s="3"/>
      <c r="H41" s="3"/>
      <c r="I41" s="3"/>
      <c r="J41" s="3"/>
      <c r="K41" s="3"/>
      <c r="L41" s="3"/>
      <c r="M41" s="3"/>
      <c r="N41" s="3"/>
      <c r="O41" s="3"/>
      <c r="P41" s="3"/>
    </row>
    <row r="42" spans="2:17" x14ac:dyDescent="0.25">
      <c r="B42" s="12" t="s">
        <v>40</v>
      </c>
      <c r="C42" s="12"/>
      <c r="D42" s="12"/>
      <c r="E42" s="12"/>
      <c r="F42" s="12"/>
      <c r="G42" s="12"/>
      <c r="H42" s="12"/>
      <c r="I42" s="12"/>
      <c r="J42" s="12"/>
      <c r="K42" s="12"/>
      <c r="L42" s="12"/>
      <c r="M42" s="12"/>
      <c r="N42" s="12"/>
      <c r="O42" s="12"/>
      <c r="P42" s="12"/>
      <c r="Q42" s="12"/>
    </row>
    <row r="43" spans="2:17" ht="47.25" customHeight="1" x14ac:dyDescent="0.25">
      <c r="B43" s="11" t="s">
        <v>37</v>
      </c>
      <c r="C43" s="11"/>
      <c r="D43" s="11"/>
      <c r="E43" s="11"/>
      <c r="F43" s="11"/>
      <c r="G43" s="11"/>
      <c r="H43" s="11"/>
      <c r="I43" s="11"/>
      <c r="J43" s="11"/>
      <c r="K43" s="11"/>
      <c r="L43" s="11"/>
      <c r="M43" s="11"/>
      <c r="N43" s="11"/>
      <c r="O43" s="11"/>
      <c r="P43" s="11"/>
      <c r="Q43" s="11"/>
    </row>
    <row r="44" spans="2:17" x14ac:dyDescent="0.25">
      <c r="B44" s="10" t="s">
        <v>41</v>
      </c>
      <c r="C44" s="10"/>
      <c r="D44" s="10"/>
      <c r="E44" s="10"/>
      <c r="F44" s="10"/>
      <c r="G44" s="10"/>
      <c r="H44" s="10"/>
      <c r="I44" s="10"/>
    </row>
  </sheetData>
  <mergeCells count="29">
    <mergeCell ref="F31:J31"/>
    <mergeCell ref="B44:I44"/>
    <mergeCell ref="B32:Q40"/>
    <mergeCell ref="B43:Q43"/>
    <mergeCell ref="B42:Q42"/>
    <mergeCell ref="C27:M30"/>
    <mergeCell ref="I21:O21"/>
    <mergeCell ref="L22:O22"/>
    <mergeCell ref="L23:O23"/>
    <mergeCell ref="L24:O24"/>
    <mergeCell ref="I24:K24"/>
    <mergeCell ref="I22:K22"/>
    <mergeCell ref="I23:K23"/>
    <mergeCell ref="B22:E23"/>
    <mergeCell ref="T21:T22"/>
    <mergeCell ref="U21:U22"/>
    <mergeCell ref="R5:T5"/>
    <mergeCell ref="R18:T18"/>
    <mergeCell ref="A1:C1"/>
    <mergeCell ref="A2:C2"/>
    <mergeCell ref="A3:C3"/>
    <mergeCell ref="G7:G13"/>
    <mergeCell ref="K7:K16"/>
    <mergeCell ref="L5:N5"/>
    <mergeCell ref="B16:D16"/>
    <mergeCell ref="O5:Q5"/>
    <mergeCell ref="I18:J18"/>
    <mergeCell ref="A22:A23"/>
    <mergeCell ref="D3:F3"/>
  </mergeCells>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2021-06-28T07:37:28Z</dcterms:modified>
</cp:coreProperties>
</file>