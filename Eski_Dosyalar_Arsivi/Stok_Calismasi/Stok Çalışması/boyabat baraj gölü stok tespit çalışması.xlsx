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4000" windowHeight="9750" activeTab="2"/>
  </bookViews>
  <sheets>
    <sheet name="Sayfa1" sheetId="1" r:id="rId1"/>
    <sheet name="Sayfa2" sheetId="2" r:id="rId2"/>
    <sheet name="Sonuç" sheetId="6" r:id="rId3"/>
    <sheet name="Sayfa3" sheetId="7" r:id="rId4"/>
  </sheets>
  <externalReferences>
    <externalReference r:id="rId5"/>
  </externalReferences>
  <calcPr calcId="152511"/>
</workbook>
</file>

<file path=xl/calcChain.xml><?xml version="1.0" encoding="utf-8"?>
<calcChain xmlns="http://schemas.openxmlformats.org/spreadsheetml/2006/main">
  <c r="N9" i="6" l="1"/>
  <c r="M9" i="6"/>
  <c r="L9" i="6"/>
  <c r="N8" i="6"/>
  <c r="M8" i="6"/>
  <c r="L8" i="6"/>
  <c r="L17" i="6"/>
  <c r="N7" i="6"/>
  <c r="M7" i="6"/>
  <c r="L7" i="6"/>
  <c r="E9" i="6"/>
  <c r="C9" i="6"/>
  <c r="E8" i="6"/>
  <c r="C8" i="6"/>
  <c r="B9" i="6"/>
  <c r="B8" i="6"/>
  <c r="E7" i="6"/>
  <c r="C7" i="6"/>
  <c r="B7" i="6"/>
  <c r="A55" i="2"/>
  <c r="F54" i="2"/>
  <c r="J54" i="2"/>
  <c r="I39" i="2"/>
  <c r="E39" i="2"/>
  <c r="I21" i="2"/>
  <c r="E21" i="2"/>
  <c r="I3" i="2"/>
  <c r="E3" i="2"/>
  <c r="J18" i="2"/>
  <c r="F18" i="2"/>
  <c r="A19" i="2" s="1"/>
  <c r="B18" i="2"/>
  <c r="J9" i="6"/>
  <c r="J8" i="6"/>
  <c r="J7" i="6"/>
  <c r="H58" i="7"/>
  <c r="E58" i="7"/>
  <c r="B58" i="7"/>
  <c r="A59" i="7" s="1"/>
  <c r="H39" i="7"/>
  <c r="E39" i="7"/>
  <c r="B39" i="7"/>
  <c r="H20" i="7"/>
  <c r="E20" i="7"/>
  <c r="B20" i="7"/>
  <c r="A21" i="7" s="1"/>
  <c r="T30" i="6"/>
  <c r="U27" i="6" s="1"/>
  <c r="U28" i="6"/>
  <c r="U26" i="6"/>
  <c r="U25" i="6"/>
  <c r="U24" i="6"/>
  <c r="U23" i="6"/>
  <c r="N17" i="6"/>
  <c r="M17" i="6"/>
  <c r="C17" i="6"/>
  <c r="F13" i="6"/>
  <c r="E13" i="6"/>
  <c r="F12" i="6"/>
  <c r="E12" i="6"/>
  <c r="F11" i="6"/>
  <c r="E11" i="6"/>
  <c r="F10" i="6"/>
  <c r="E10" i="6"/>
  <c r="F8" i="6"/>
  <c r="F7" i="6"/>
  <c r="B36" i="2"/>
  <c r="F9" i="6" l="1"/>
  <c r="G7" i="6"/>
  <c r="K7" i="6" s="1"/>
  <c r="O16" i="6" s="1"/>
  <c r="R16" i="6" s="1"/>
  <c r="B54" i="2"/>
  <c r="J36" i="2"/>
  <c r="F36" i="2"/>
  <c r="A37" i="2" s="1"/>
  <c r="A40" i="7"/>
  <c r="Q15" i="6"/>
  <c r="T15" i="6" s="1"/>
  <c r="O14" i="6"/>
  <c r="R14" i="6" s="1"/>
  <c r="Q10" i="6"/>
  <c r="T10" i="6" s="1"/>
  <c r="Q8" i="6"/>
  <c r="T8" i="6" s="1"/>
  <c r="Q7" i="6"/>
  <c r="T7" i="6" s="1"/>
  <c r="P15" i="6"/>
  <c r="S15" i="6" s="1"/>
  <c r="P12" i="6"/>
  <c r="S12" i="6" s="1"/>
  <c r="P11" i="6"/>
  <c r="S11" i="6" s="1"/>
  <c r="P10" i="6"/>
  <c r="S10" i="6" s="1"/>
  <c r="P8" i="6"/>
  <c r="S8" i="6" s="1"/>
  <c r="P7" i="6"/>
  <c r="S7" i="6" s="1"/>
  <c r="P16" i="6"/>
  <c r="S16" i="6" s="1"/>
  <c r="O15" i="6"/>
  <c r="R15" i="6" s="1"/>
  <c r="Q14" i="6"/>
  <c r="T14" i="6" s="1"/>
  <c r="O13" i="6"/>
  <c r="R13" i="6" s="1"/>
  <c r="O11" i="6"/>
  <c r="R11" i="6" s="1"/>
  <c r="O10" i="6"/>
  <c r="R10" i="6" s="1"/>
  <c r="O9" i="6"/>
  <c r="R9" i="6" s="1"/>
  <c r="O7" i="6"/>
  <c r="R7" i="6" s="1"/>
  <c r="P14" i="6"/>
  <c r="S14" i="6" s="1"/>
  <c r="P17" i="6"/>
  <c r="S17" i="6" s="1"/>
  <c r="O17" i="6"/>
  <c r="R17" i="6" s="1"/>
  <c r="U29" i="6"/>
  <c r="U30" i="6" s="1"/>
  <c r="Q11" i="6" l="1"/>
  <c r="T11" i="6" s="1"/>
  <c r="Q12" i="6"/>
  <c r="T12" i="6" s="1"/>
  <c r="Q17" i="6"/>
  <c r="T17" i="6" s="1"/>
  <c r="R18" i="6" s="1"/>
  <c r="O8" i="6"/>
  <c r="R8" i="6" s="1"/>
  <c r="O12" i="6"/>
  <c r="R12" i="6" s="1"/>
  <c r="Q16" i="6"/>
  <c r="T16" i="6" s="1"/>
  <c r="P9" i="6"/>
  <c r="S9" i="6" s="1"/>
  <c r="P13" i="6"/>
  <c r="S13" i="6" s="1"/>
  <c r="Q9" i="6"/>
  <c r="T9" i="6" s="1"/>
  <c r="Q13" i="6"/>
  <c r="T13" i="6" s="1"/>
  <c r="P23" i="6" l="1"/>
  <c r="P24" i="6"/>
  <c r="P22" i="6"/>
</calcChain>
</file>

<file path=xl/comments1.xml><?xml version="1.0" encoding="utf-8"?>
<comments xmlns="http://schemas.openxmlformats.org/spreadsheetml/2006/main">
  <authors>
    <author>Yazar</author>
  </authors>
  <commentList>
    <comment ref="E1" authorId="0" shapeId="0">
      <text>
        <r>
          <rPr>
            <b/>
            <sz val="9"/>
            <color indexed="81"/>
            <rFont val="Tahoma"/>
            <family val="2"/>
            <charset val="162"/>
          </rPr>
          <t>Yazar:</t>
        </r>
        <r>
          <rPr>
            <sz val="9"/>
            <color indexed="81"/>
            <rFont val="Tahoma"/>
            <family val="2"/>
            <charset val="162"/>
          </rPr>
          <t xml:space="preserve">
Baraj gölünün metrekare cinsinden alanı</t>
        </r>
      </text>
    </comment>
    <comment ref="D3" authorId="0" shapeId="0">
      <text>
        <r>
          <rPr>
            <b/>
            <sz val="9"/>
            <color indexed="81"/>
            <rFont val="Tahoma"/>
            <family val="2"/>
            <charset val="162"/>
          </rPr>
          <t>Yazar:</t>
        </r>
        <r>
          <rPr>
            <sz val="9"/>
            <color indexed="81"/>
            <rFont val="Tahoma"/>
            <family val="2"/>
            <charset val="162"/>
          </rPr>
          <t xml:space="preserve">
Dikkat edilecek nokta su Kullanılması gereken  ağ göz açıklıklarına karar verilmesi için su kaynağındaki ticari türlerin bilinmesi gereklidir</t>
        </r>
      </text>
    </comment>
    <comment ref="L5" authorId="0" shapeId="0">
      <text>
        <r>
          <rPr>
            <b/>
            <sz val="9"/>
            <color indexed="81"/>
            <rFont val="Tahoma"/>
            <family val="2"/>
            <charset val="162"/>
          </rPr>
          <t>Yazar:</t>
        </r>
        <r>
          <rPr>
            <sz val="9"/>
            <color indexed="81"/>
            <rFont val="Tahoma"/>
            <family val="2"/>
            <charset val="162"/>
          </rPr>
          <t xml:space="preserve">
İstasyonlarda her bir denemede yakalan balık miktarı kilogram cinsinden.</t>
        </r>
      </text>
    </comment>
    <comment ref="O5" authorId="0" shapeId="0">
      <text>
        <r>
          <rPr>
            <b/>
            <sz val="9"/>
            <color indexed="81"/>
            <rFont val="Tahoma"/>
            <family val="2"/>
            <charset val="162"/>
          </rPr>
          <t>Yazar:</t>
        </r>
        <r>
          <rPr>
            <sz val="9"/>
            <color indexed="81"/>
            <rFont val="Tahoma"/>
            <family val="2"/>
            <charset val="162"/>
          </rPr>
          <t xml:space="preserve">
Çalıştığımız birim alandaki stok yoğunluğunu bulmak için avlanan balık miktarını birim alanımızın metrekaresine bölüyoruz. Bulduğumuz sonuç metrekaredeki balık miktarının kilogram cinsinden ifadesi olur.</t>
        </r>
      </text>
    </comment>
    <comment ref="R5" authorId="0" shapeId="0">
      <text>
        <r>
          <rPr>
            <b/>
            <sz val="9"/>
            <color indexed="81"/>
            <rFont val="Tahoma"/>
            <family val="2"/>
            <charset val="162"/>
          </rPr>
          <t>Yazar:</t>
        </r>
        <r>
          <rPr>
            <sz val="9"/>
            <color indexed="81"/>
            <rFont val="Tahoma"/>
            <family val="2"/>
            <charset val="162"/>
          </rPr>
          <t xml:space="preserve">
Birim alandaki metrekareye düşen kilogram balık miktarını bulduktan sonra bunu istasyonumuzun (avlak sahamızın ya da bölgemizin) toplam alanıyla çarpıp tüm alandaki balık miktarını hesaplıyoruz</t>
        </r>
      </text>
    </comment>
    <comment ref="A6" authorId="0" shapeId="0">
      <text>
        <r>
          <rPr>
            <b/>
            <sz val="9"/>
            <color indexed="81"/>
            <rFont val="Tahoma"/>
            <family val="2"/>
            <charset val="162"/>
          </rPr>
          <t>Yazar:</t>
        </r>
        <r>
          <rPr>
            <sz val="9"/>
            <color indexed="81"/>
            <rFont val="Tahoma"/>
            <family val="2"/>
            <charset val="162"/>
          </rPr>
          <t xml:space="preserve">
Denemeler için yeterli gördüğümüz sayıda farklı göz açıklığına sahip ağlarla bir "ağ takımı" oluşturuyoruz.</t>
        </r>
      </text>
    </comment>
    <comment ref="B6" authorId="0" shapeId="0">
      <text>
        <r>
          <rPr>
            <b/>
            <sz val="9"/>
            <color indexed="81"/>
            <rFont val="Tahoma"/>
            <family val="2"/>
            <charset val="162"/>
          </rPr>
          <t>Yazar:</t>
        </r>
        <r>
          <rPr>
            <sz val="9"/>
            <color indexed="81"/>
            <rFont val="Tahoma"/>
            <family val="2"/>
            <charset val="162"/>
          </rPr>
          <t xml:space="preserve">
Karşılıklı iki düğüm arasındaki mesafe (karenin iki kenarının uzunluğu)</t>
        </r>
      </text>
    </comment>
    <comment ref="C6" authorId="0" shapeId="0">
      <text>
        <r>
          <rPr>
            <b/>
            <sz val="9"/>
            <color indexed="81"/>
            <rFont val="Tahoma"/>
            <family val="2"/>
            <charset val="162"/>
          </rPr>
          <t>Yazar:</t>
        </r>
        <r>
          <rPr>
            <sz val="9"/>
            <color indexed="81"/>
            <rFont val="Tahoma"/>
            <family val="2"/>
            <charset val="162"/>
          </rPr>
          <t xml:space="preserve">
Mantar yakanın uzunluğu</t>
        </r>
      </text>
    </comment>
    <comment ref="D6" authorId="0" shapeId="0">
      <text>
        <r>
          <rPr>
            <b/>
            <sz val="9"/>
            <color indexed="81"/>
            <rFont val="Tahoma"/>
            <family val="2"/>
            <charset val="162"/>
          </rPr>
          <t>Yazar:</t>
        </r>
        <r>
          <rPr>
            <sz val="9"/>
            <color indexed="81"/>
            <rFont val="Tahoma"/>
            <family val="2"/>
            <charset val="162"/>
          </rPr>
          <t xml:space="preserve">
Mantar yakadar kurşun yaka istikametine kaç gözden oluştuğunu ifade eder (genelde  iki tip kullanılır tam boy :100 göz, yarım boy: 50 göz) sığ bölgelerde avcılık yapanlar yarım boy tercih eder</t>
        </r>
      </text>
    </comment>
    <comment ref="E6" authorId="0" shapeId="0">
      <text>
        <r>
          <rPr>
            <b/>
            <sz val="9"/>
            <color indexed="81"/>
            <rFont val="Tahoma"/>
            <family val="2"/>
            <charset val="162"/>
          </rPr>
          <t>Yazar:</t>
        </r>
        <r>
          <rPr>
            <sz val="9"/>
            <color indexed="81"/>
            <rFont val="Tahoma"/>
            <family val="2"/>
            <charset val="162"/>
          </rPr>
          <t xml:space="preserve">
Ağın derinliğinin metre cinsinden ifadesidir. Ağ göz açıklığı, ağın derinliğine göz sayısı ve 0,866 sabit katsayısının  çarpımı ile bulunur </t>
        </r>
      </text>
    </comment>
    <comment ref="F6" authorId="0" shapeId="0">
      <text>
        <r>
          <rPr>
            <b/>
            <sz val="9"/>
            <color indexed="81"/>
            <rFont val="Tahoma"/>
            <family val="2"/>
            <charset val="162"/>
          </rPr>
          <t>Yazar:</t>
        </r>
        <r>
          <rPr>
            <sz val="9"/>
            <color indexed="81"/>
            <rFont val="Tahoma"/>
            <family val="2"/>
            <charset val="162"/>
          </rPr>
          <t xml:space="preserve">
Hesaplanan ağın derinliği ile ağın uzunluğunun(mantar yaka uzunluğu)  çarpımı ile hesaplanır</t>
        </r>
      </text>
    </comment>
    <comment ref="G6" authorId="0" shapeId="0">
      <text>
        <r>
          <rPr>
            <b/>
            <sz val="9"/>
            <color indexed="81"/>
            <rFont val="Tahoma"/>
            <family val="2"/>
            <charset val="162"/>
          </rPr>
          <t>Yazar:</t>
        </r>
        <r>
          <rPr>
            <sz val="9"/>
            <color indexed="81"/>
            <rFont val="Tahoma"/>
            <family val="2"/>
            <charset val="162"/>
          </rPr>
          <t xml:space="preserve">
Her bir ağ için hesaplanan alanların toplamıdır. Bulunan değer bizim birim alanımızdır.</t>
        </r>
      </text>
    </comment>
    <comment ref="I6" authorId="0" shapeId="0">
      <text>
        <r>
          <rPr>
            <b/>
            <sz val="9"/>
            <color indexed="81"/>
            <rFont val="Tahoma"/>
            <family val="2"/>
            <charset val="162"/>
          </rPr>
          <t>Yazar:</t>
        </r>
        <r>
          <rPr>
            <sz val="9"/>
            <color indexed="81"/>
            <rFont val="Tahoma"/>
            <family val="2"/>
            <charset val="162"/>
          </rPr>
          <t xml:space="preserve">
Yapılan avcılık operasyonu sayısı</t>
        </r>
      </text>
    </comment>
    <comment ref="J6" authorId="0" shapeId="0">
      <text>
        <r>
          <rPr>
            <b/>
            <sz val="9"/>
            <color indexed="81"/>
            <rFont val="Tahoma"/>
            <family val="2"/>
            <charset val="162"/>
          </rPr>
          <t>Yazar:</t>
        </r>
        <r>
          <rPr>
            <sz val="9"/>
            <color indexed="81"/>
            <rFont val="Tahoma"/>
            <family val="2"/>
            <charset val="162"/>
          </rPr>
          <t xml:space="preserve">
Dursun Avşar hoca cyprinidlerin kışın az hareket etmesi nedeniyle denemelerini mayıs-ekim arası yapmış fakat sizler sezon süresince ya da uygun bulduğunuz bir dönemde de yapabilirsiniz</t>
        </r>
      </text>
    </comment>
    <comment ref="K6" authorId="0" shapeId="0">
      <text>
        <r>
          <rPr>
            <b/>
            <sz val="9"/>
            <color indexed="81"/>
            <rFont val="Tahoma"/>
            <family val="2"/>
            <charset val="162"/>
          </rPr>
          <t>Yazar:</t>
        </r>
        <r>
          <rPr>
            <sz val="9"/>
            <color indexed="81"/>
            <rFont val="Tahoma"/>
            <family val="2"/>
            <charset val="162"/>
          </rPr>
          <t xml:space="preserve">
her operasyonda aynı ağ takımı kullanıldığı için hesaplanmış olan tüm ağların alanı</t>
        </r>
      </text>
    </comment>
    <comment ref="B16" authorId="0" shapeId="0">
      <text>
        <r>
          <rPr>
            <b/>
            <sz val="9"/>
            <color indexed="81"/>
            <rFont val="Tahoma"/>
            <family val="2"/>
            <charset val="162"/>
          </rPr>
          <t>Yazar:</t>
        </r>
        <r>
          <rPr>
            <sz val="9"/>
            <color indexed="81"/>
            <rFont val="Tahoma"/>
            <family val="2"/>
            <charset val="162"/>
          </rPr>
          <t xml:space="preserve">
Çalışma alanının vejetasyon, eğim, besin girdisi gibi durumları gözetilerek farklı istasyonlara ayrılabilir ya da avlak sahası bazında çalışılaiblir. Böyle durumlarda belirlenen her bir istasyonun (bölgenin) alanı bilinmelidir. </t>
        </r>
      </text>
    </comment>
    <comment ref="R18" authorId="0" shapeId="0">
      <text>
        <r>
          <rPr>
            <b/>
            <sz val="9"/>
            <color indexed="81"/>
            <rFont val="Tahoma"/>
            <family val="2"/>
            <charset val="162"/>
          </rPr>
          <t>Yazar:</t>
        </r>
        <r>
          <rPr>
            <sz val="9"/>
            <color indexed="81"/>
            <rFont val="Tahoma"/>
            <family val="2"/>
            <charset val="162"/>
          </rPr>
          <t xml:space="preserve">
Eğer toplam alanın stoğu hesaplanacaksa bu alanları toplayım genel sonuca ulaşabiliriz. Unutmayınızki bulunan sonuç avlanmasına müsaade edeceğimiz miktar demek değil, kullandığımız apların seçiciliği sınırları arasında kalan balık miktarıdır.</t>
        </r>
      </text>
    </comment>
    <comment ref="I21" authorId="0" shapeId="0">
      <text>
        <r>
          <rPr>
            <b/>
            <sz val="9"/>
            <color indexed="81"/>
            <rFont val="Tahoma"/>
            <family val="2"/>
            <charset val="162"/>
          </rPr>
          <t>Yazar:</t>
        </r>
        <r>
          <rPr>
            <sz val="9"/>
            <color indexed="81"/>
            <rFont val="Tahoma"/>
            <family val="2"/>
            <charset val="162"/>
          </rPr>
          <t xml:space="preserve">
Stok işletme oranı başka bir deyişle stoktan yararlanma oranıdır, Bu oranı yüksek av baskısı altında olan aşırı sömürülen veya geç cinsel olgunluğa erişen türler için daha düşük hızlı büyüyen ya da yıpranmamış stoklar için daha yüksek alabilirsiniz</t>
        </r>
      </text>
    </comment>
    <comment ref="T21" authorId="0" shapeId="0">
      <text>
        <r>
          <rPr>
            <b/>
            <sz val="9"/>
            <color indexed="81"/>
            <rFont val="Tahoma"/>
            <family val="2"/>
            <charset val="162"/>
          </rPr>
          <t>Yazar:</t>
        </r>
        <r>
          <rPr>
            <sz val="9"/>
            <color indexed="81"/>
            <rFont val="Tahoma"/>
            <family val="2"/>
            <charset val="162"/>
          </rPr>
          <t xml:space="preserve">
Tüm avcılıklarımızda tür bazında avladığımız balık miktarları</t>
        </r>
      </text>
    </comment>
    <comment ref="U21" authorId="0" shapeId="0">
      <text>
        <r>
          <rPr>
            <b/>
            <sz val="9"/>
            <color indexed="81"/>
            <rFont val="Tahoma"/>
            <family val="2"/>
            <charset val="162"/>
          </rPr>
          <t>Yazar:</t>
        </r>
        <r>
          <rPr>
            <sz val="9"/>
            <color indexed="81"/>
            <rFont val="Tahoma"/>
            <family val="2"/>
            <charset val="162"/>
          </rPr>
          <t xml:space="preserve">
Avladığımız toplam avdaki ticari türlerin oranını aynı zamanda populasyondaki oranı olarak da kabul edebiliriz.</t>
        </r>
      </text>
    </comment>
    <comment ref="P22" authorId="0" shapeId="0">
      <text>
        <r>
          <rPr>
            <b/>
            <sz val="9"/>
            <color indexed="81"/>
            <rFont val="Tahoma"/>
            <family val="2"/>
            <charset val="162"/>
          </rPr>
          <t>Yazar:</t>
        </r>
        <r>
          <rPr>
            <sz val="9"/>
            <color indexed="81"/>
            <rFont val="Tahoma"/>
            <family val="2"/>
            <charset val="162"/>
          </rPr>
          <t xml:space="preserve">
Sonuç olarak bulduğumuz toplam stok miktarını uygun bulduğumuz E değeriyle çarpıp  kiralamaya eas stok miktarını tahmin etmiş oluyoruz.</t>
        </r>
      </text>
    </comment>
  </commentList>
</comments>
</file>

<file path=xl/sharedStrings.xml><?xml version="1.0" encoding="utf-8"?>
<sst xmlns="http://schemas.openxmlformats.org/spreadsheetml/2006/main" count="407" uniqueCount="109">
  <si>
    <t>1. İSTASYON</t>
  </si>
  <si>
    <t>2. İSTASYON</t>
  </si>
  <si>
    <t>3. İSTASYON</t>
  </si>
  <si>
    <t xml:space="preserve">100 boy, 6m derinlik, 60mm göz </t>
  </si>
  <si>
    <t>150m boy, 6m derinlik, 70mm göz</t>
  </si>
  <si>
    <t>AV ARACI</t>
  </si>
  <si>
    <t>KOORDİNAT</t>
  </si>
  <si>
    <t>41°19'07.0"N   34°55'08.5"E</t>
  </si>
  <si>
    <t>41°18'42.0"N   34°55'22.0"E</t>
  </si>
  <si>
    <t>41°19'11.4"N   34°55'48.6"E</t>
  </si>
  <si>
    <t>TÜRLER</t>
  </si>
  <si>
    <t>Sazan 1.30 kg, 49cm</t>
  </si>
  <si>
    <t>sazan 1.23 kg, 46cm</t>
  </si>
  <si>
    <t>Sazan 1.27kg, 47cm</t>
  </si>
  <si>
    <t>sazan 1.34kg, 47cm</t>
  </si>
  <si>
    <t>Yayın 1.40 kg, 66cm</t>
  </si>
  <si>
    <t>Sazan 1.28kg, 46cm</t>
  </si>
  <si>
    <t>sazan 1.25kg, 42cm</t>
  </si>
  <si>
    <t>Sazan 0.89kg, 40cm</t>
  </si>
  <si>
    <t>Yayın 0.88kg, 48cm</t>
  </si>
  <si>
    <t>Sazan 1.05kg, 43cm</t>
  </si>
  <si>
    <t>Sazan 1.33kg, 46cm</t>
  </si>
  <si>
    <t>Sazan 1.56kg, 49cm</t>
  </si>
  <si>
    <t>Sudak 2.76kg, 69cm</t>
  </si>
  <si>
    <t>Sazan 1.29kg, 45cm</t>
  </si>
  <si>
    <t>Sazan 1.54kg, 49cm</t>
  </si>
  <si>
    <t>Sazan 1.47kg, 48cm</t>
  </si>
  <si>
    <t>Sazan 1.30kg, 45cm</t>
  </si>
  <si>
    <t>41°18'48.6"N   34°55'18.1"E</t>
  </si>
  <si>
    <t>41°19'09.8"N   34°56'20.5"E</t>
  </si>
  <si>
    <t>41°17'29.8"N   34°55'39.0"E</t>
  </si>
  <si>
    <t>Sazan 1.08kg, 45cm</t>
  </si>
  <si>
    <t>Sazan 1.11kg, 43cm</t>
  </si>
  <si>
    <t>Sazan 1.79kg, 51cm</t>
  </si>
  <si>
    <t>Sazan 1.33kg, 45cm</t>
  </si>
  <si>
    <t>Sazan 1.15kg, 44cm</t>
  </si>
  <si>
    <t>24,06,2021</t>
  </si>
  <si>
    <t>41°17'06.9"N   34°54'49.1"E</t>
  </si>
  <si>
    <t>41°17'03.5"N   34°54'24.3"E</t>
  </si>
  <si>
    <t>41°16'55.8"N   34°53'59.3"E</t>
  </si>
  <si>
    <t>Sazan 1.52kg, 48cm</t>
  </si>
  <si>
    <t>Yayın 2.99kg, 76cm</t>
  </si>
  <si>
    <t>22.06.2021-25.06.2021 BOYABAT BARAJ GÖLÜ STOK TESPİT ÇALIŞMASI SONUÇLARI</t>
  </si>
  <si>
    <t>Çizelgede verilen tarihler ağların koordinatlara kurulduğu tarihtir.</t>
  </si>
  <si>
    <t>Çekimler bir sonraki gün saat 08:00-10:00 arasında yapılmıştır.</t>
  </si>
  <si>
    <t>22.06.2021 de ağlar akşam saat 18:00 de diğer günler sabah çekimden sonra kurulmuştur.</t>
  </si>
  <si>
    <t>Diğer günlerde av miktarının az oluşu ağların suda uzun süre kalıp çamur kaplanmasından kaynaklandığı anlaşılmıştır.</t>
  </si>
  <si>
    <t>Ağırlık (kg)</t>
  </si>
  <si>
    <t>Boy (cm)</t>
  </si>
  <si>
    <t>Sazan</t>
  </si>
  <si>
    <t>Yayın</t>
  </si>
  <si>
    <t>Sudak</t>
  </si>
  <si>
    <t xml:space="preserve">100m boy, 6m derinlik, 60mm göz </t>
  </si>
  <si>
    <t>Toplam</t>
  </si>
  <si>
    <t>….. Baraj Gölü</t>
  </si>
  <si>
    <r>
      <t>671km</t>
    </r>
    <r>
      <rPr>
        <vertAlign val="superscript"/>
        <sz val="11"/>
        <color theme="1"/>
        <rFont val="Calibri"/>
        <family val="2"/>
        <charset val="162"/>
        <scheme val="minor"/>
      </rPr>
      <t xml:space="preserve">2 </t>
    </r>
  </si>
  <si>
    <r>
      <t>m</t>
    </r>
    <r>
      <rPr>
        <vertAlign val="superscript"/>
        <sz val="11"/>
        <color theme="1"/>
        <rFont val="Calibri"/>
        <family val="2"/>
        <charset val="162"/>
        <scheme val="minor"/>
      </rPr>
      <t>2</t>
    </r>
  </si>
  <si>
    <t>Balıkçı Sayısı</t>
  </si>
  <si>
    <t>Ticari Türler</t>
  </si>
  <si>
    <t>C. Carpio (2 tür), Luciobarbus esocinus, Luciobarbus xanthopterus, Luciobarbus mystaceus. Capoeta trutta, Oncorhynchus mykiss. Capoeta umbla vs…</t>
  </si>
  <si>
    <t>Avlanan Miktarlar (kg)</t>
  </si>
  <si>
    <t>Birim alandaki stok yoğunluğu (kg/m2)</t>
  </si>
  <si>
    <t>Toplam Stok (kg)</t>
  </si>
  <si>
    <t>Ağlar</t>
  </si>
  <si>
    <t>Ağ göz açıklığı (mm)</t>
  </si>
  <si>
    <t>Ağ uzunluğu (m)</t>
  </si>
  <si>
    <t>Derinlik Göz Sayısı (adet)</t>
  </si>
  <si>
    <t>Ağın Derinliği (m)</t>
  </si>
  <si>
    <r>
      <t>Ağın Alanı (m</t>
    </r>
    <r>
      <rPr>
        <vertAlign val="superscript"/>
        <sz val="11"/>
        <color theme="1"/>
        <rFont val="Calibri"/>
        <family val="2"/>
        <charset val="162"/>
        <scheme val="minor"/>
      </rPr>
      <t>2</t>
    </r>
    <r>
      <rPr>
        <sz val="11"/>
        <color theme="1"/>
        <rFont val="Calibri"/>
        <family val="2"/>
        <charset val="162"/>
        <scheme val="minor"/>
      </rPr>
      <t>)</t>
    </r>
  </si>
  <si>
    <r>
      <t>Tüm Ağların Alanı (m</t>
    </r>
    <r>
      <rPr>
        <vertAlign val="superscript"/>
        <sz val="11"/>
        <color theme="1"/>
        <rFont val="Calibri"/>
        <family val="2"/>
        <charset val="162"/>
        <scheme val="minor"/>
      </rPr>
      <t>2</t>
    </r>
    <r>
      <rPr>
        <sz val="11"/>
        <color theme="1"/>
        <rFont val="Calibri"/>
        <family val="2"/>
        <scheme val="minor"/>
      </rPr>
      <t>)</t>
    </r>
  </si>
  <si>
    <t>Avcılık No:</t>
  </si>
  <si>
    <t>Avcılık Tarihi</t>
  </si>
  <si>
    <r>
      <t>Ağların alanı (m</t>
    </r>
    <r>
      <rPr>
        <vertAlign val="superscript"/>
        <sz val="11"/>
        <color theme="1"/>
        <rFont val="Calibri"/>
        <family val="2"/>
        <charset val="162"/>
        <scheme val="minor"/>
      </rPr>
      <t>2</t>
    </r>
    <r>
      <rPr>
        <sz val="11"/>
        <color theme="1"/>
        <rFont val="Calibri"/>
        <family val="2"/>
        <scheme val="minor"/>
      </rPr>
      <t>)</t>
    </r>
  </si>
  <si>
    <t>1. İst.</t>
  </si>
  <si>
    <t>2. ist.</t>
  </si>
  <si>
    <t>3. ist.</t>
  </si>
  <si>
    <t>İstasyonların alanları (km2)</t>
  </si>
  <si>
    <t>1. İst</t>
  </si>
  <si>
    <r>
      <t>210 km</t>
    </r>
    <r>
      <rPr>
        <vertAlign val="superscript"/>
        <sz val="11"/>
        <color theme="1"/>
        <rFont val="Calibri"/>
        <family val="2"/>
        <charset val="162"/>
        <scheme val="minor"/>
      </rPr>
      <t>2</t>
    </r>
  </si>
  <si>
    <t>Ortalama (kg)</t>
  </si>
  <si>
    <t>2. ist</t>
  </si>
  <si>
    <r>
      <t>230 km</t>
    </r>
    <r>
      <rPr>
        <vertAlign val="superscript"/>
        <sz val="11"/>
        <color theme="1"/>
        <rFont val="Calibri"/>
        <family val="2"/>
        <charset val="162"/>
        <scheme val="minor"/>
      </rPr>
      <t>2</t>
    </r>
  </si>
  <si>
    <t>Toplam Biyomas (ton)</t>
  </si>
  <si>
    <t>3. ist</t>
  </si>
  <si>
    <r>
      <t>231 km</t>
    </r>
    <r>
      <rPr>
        <vertAlign val="superscript"/>
        <sz val="11"/>
        <color theme="1"/>
        <rFont val="Calibri"/>
        <family val="2"/>
        <charset val="162"/>
        <scheme val="minor"/>
      </rPr>
      <t>2</t>
    </r>
  </si>
  <si>
    <t>E= 0,3 ile 0,6 arasında tercih edilebilir, ideal değeri 0,5 olarak kabul edilir</t>
  </si>
  <si>
    <t>Türlerin toplam avdaki oranları</t>
  </si>
  <si>
    <t>0,5 donam faktörüyle donanmış bir ağın derinliğini hesaplamak için kullanılan sabit katsayı</t>
  </si>
  <si>
    <t xml:space="preserve">E=0,5 alınırsa </t>
  </si>
  <si>
    <t>Avlanabilir Stok (kiralamaya esas) =</t>
  </si>
  <si>
    <t>E=0,3 alınırsa</t>
  </si>
  <si>
    <t>C.carpio (aynalı)</t>
  </si>
  <si>
    <t>E=0,4 alınırsa</t>
  </si>
  <si>
    <t>C.carpio(pullu)</t>
  </si>
  <si>
    <t>L.esocinus</t>
  </si>
  <si>
    <t>O.mykiss</t>
  </si>
  <si>
    <t>NOT: Sonuçta her bir tür için ayrı bir stok hesaplayacaksak eğer  her avcılıkta yakaladığımız balıkların ağırlıkça oranlarını tespit etmemiz lazım. Böylece toplamda şu kadar avcılık yaptık şu akdar kilo balık yakaladık bunun %20 si şu türdendi dolayısıyla tespit ettiğimiz stoktaki oranıda budur diyebiliriz.</t>
  </si>
  <si>
    <t>C.umbla</t>
  </si>
  <si>
    <t>C.trutta</t>
  </si>
  <si>
    <t>L.mystaceus</t>
  </si>
  <si>
    <t>Rapor örneği</t>
  </si>
  <si>
    <r>
      <t xml:space="preserve">Baraj gölünün …. Avlaksahalarında belirlenen  … istasyonda  …. - … göz açıklığına sahip  … adet uzatma ağları kullanılarak   …..  İle  ….. Tarihleri arasında avcılık operasyonları düzenlenmiştir. Denemeler sonucunda   ………. türlerinden toplam …. Kg balık yakalanmış olup toplam avın ağırlığına göre dağılımı ise şu şekildedir.  ... türü %...., ... türü: 5... vs.   Stok büyüklüğünün tahmininde Avşar ve diğ. (2000)’in önerdiği “Uzatma Ağlarıyla Avcılık Yöntemi”nden yararlanılmıştır.  her bir bölge için hesaplanan toplam stok değerleri tabloda görülmektedir. (stokların hesaplandığı tablo rapora konabilir).  Ayrıca baraj gölündeki avcılık baskısı ya da ..... faktörler dikkate alındığında stoktan yararlanma düzeyinin Gulland (1971),  E= .... olarak alınması uygun bulunmaktadır bu durumda yıllık kiralamaya esas stok miktarı .... ton/yıl olarak </t>
    </r>
    <r>
      <rPr>
        <b/>
        <u/>
        <sz val="11"/>
        <color theme="1"/>
        <rFont val="Calibri"/>
        <family val="2"/>
        <charset val="162"/>
        <scheme val="minor"/>
      </rPr>
      <t>tahmin edilmiştir.</t>
    </r>
  </si>
  <si>
    <r>
      <rPr>
        <sz val="11"/>
        <color theme="1"/>
        <rFont val="Calibri"/>
        <family val="2"/>
        <charset val="162"/>
        <scheme val="minor"/>
      </rPr>
      <t>Gulland, 1971</t>
    </r>
    <r>
      <rPr>
        <b/>
        <sz val="11"/>
        <color theme="1"/>
        <rFont val="Calibri"/>
        <family val="2"/>
        <charset val="162"/>
        <scheme val="minor"/>
      </rPr>
      <t>.</t>
    </r>
    <r>
      <rPr>
        <sz val="11"/>
        <color theme="1"/>
        <rFont val="Calibri"/>
        <family val="2"/>
        <charset val="162"/>
        <scheme val="minor"/>
      </rPr>
      <t xml:space="preserve"> The Fish Resources of the Ocean. West By fleet, Surrey, Fishing News (Books) Ltd., England.</t>
    </r>
  </si>
  <si>
    <t>Avşar, D., C. E. Özyurt, E. Çiçek, H. Yeldan, M. Özütok, 2000. A Study on the Biomass Estimation of the Carp (Cyprinus carpio, Linnaeus, 1758) and Pike-Perch (Sander lucioperca, Bogustkaya&amp;Naseka, 1996) Inhabiting in Seyhan Dam Lake (in Turkish). XI. Ulusal Su Ürünleri Sempozyumu, 4-6 Eylül 2001, Hatay, 103-118.</t>
  </si>
  <si>
    <t>Bunları da raporun altına kaynak olarak ekleyebilirsiniz</t>
  </si>
  <si>
    <t>Yayın 5.08kg, 89cm</t>
  </si>
  <si>
    <t>Göz Aç.(mm)</t>
  </si>
  <si>
    <t>Derinlik (m)</t>
  </si>
  <si>
    <t>Boy (m)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</si>
</sst>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3" x14ac:knownFonts="1">
    <font>
      <sz val="11"/>
      <color theme="1"/>
      <name val="Calibri"/>
      <family val="2"/>
      <scheme val="minor"/>
    </font>
    <font>
      <sz val="11"/>
      <color theme="1"/>
      <name val="Calibri"/>
      <family val="2"/>
      <charset val="162"/>
      <scheme val="minor"/>
    </font>
    <font>
      <b/>
      <sz val="11"/>
      <color theme="1"/>
      <name val="Calibri"/>
      <family val="2"/>
      <charset val="162"/>
      <scheme val="minor"/>
    </font>
    <font>
      <i/>
      <sz val="11"/>
      <color theme="1"/>
      <name val="Calibri"/>
      <family val="2"/>
      <charset val="162"/>
      <scheme val="minor"/>
    </font>
    <font>
      <b/>
      <sz val="12"/>
      <color theme="1"/>
      <name val="Calibri"/>
      <family val="2"/>
      <charset val="162"/>
      <scheme val="minor"/>
    </font>
    <font>
      <sz val="11"/>
      <color theme="1"/>
      <name val="Times New Roman"/>
      <family val="1"/>
      <charset val="162"/>
    </font>
    <font>
      <b/>
      <sz val="11"/>
      <color theme="1"/>
      <name val="Times New Roman"/>
      <family val="1"/>
      <charset val="162"/>
    </font>
    <font>
      <i/>
      <sz val="11"/>
      <color theme="1"/>
      <name val="Times New Roman"/>
      <family val="1"/>
      <charset val="162"/>
    </font>
    <font>
      <vertAlign val="superscript"/>
      <sz val="11"/>
      <color theme="1"/>
      <name val="Calibri"/>
      <family val="2"/>
      <charset val="162"/>
      <scheme val="minor"/>
    </font>
    <font>
      <b/>
      <u/>
      <sz val="11"/>
      <color theme="1"/>
      <name val="Calibri"/>
      <family val="2"/>
      <charset val="162"/>
      <scheme val="minor"/>
    </font>
    <font>
      <b/>
      <sz val="9"/>
      <color indexed="81"/>
      <name val="Tahoma"/>
      <family val="2"/>
      <charset val="162"/>
    </font>
    <font>
      <sz val="9"/>
      <color indexed="81"/>
      <name val="Tahoma"/>
      <family val="2"/>
      <charset val="162"/>
    </font>
    <font>
      <b/>
      <i/>
      <sz val="11"/>
      <color theme="1"/>
      <name val="Times New Roman"/>
      <family val="1"/>
      <charset val="162"/>
    </font>
  </fonts>
  <fills count="2">
    <fill>
      <patternFill patternType="none"/>
    </fill>
    <fill>
      <patternFill patternType="gray125"/>
    </fill>
  </fills>
  <borders count="1">
    <border>
      <left/>
      <right/>
      <top/>
      <bottom/>
      <diagonal/>
    </border>
  </borders>
  <cellStyleXfs count="1">
    <xf numFmtId="0" fontId="0" fillId="0" borderId="0"/>
  </cellStyleXfs>
  <cellXfs count="53">
    <xf numFmtId="0" fontId="0" fillId="0" borderId="0" xfId="0"/>
    <xf numFmtId="14" fontId="2" fillId="0" borderId="0" xfId="0" applyNumberFormat="1" applyFont="1" applyAlignment="1">
      <alignment horizontal="left"/>
    </xf>
    <xf numFmtId="0" fontId="2" fillId="0" borderId="0" xfId="0" applyFont="1" applyAlignment="1">
      <alignment horizontal="left"/>
    </xf>
    <xf numFmtId="14" fontId="2" fillId="0" borderId="0" xfId="0" applyNumberFormat="1" applyFont="1"/>
    <xf numFmtId="0" fontId="2" fillId="0" borderId="0" xfId="0" applyFont="1"/>
    <xf numFmtId="0" fontId="3" fillId="0" borderId="0" xfId="0" applyFont="1"/>
    <xf numFmtId="0" fontId="5" fillId="0" borderId="0" xfId="0" applyFont="1"/>
    <xf numFmtId="14" fontId="6"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left"/>
    </xf>
    <xf numFmtId="0" fontId="5" fillId="0" borderId="0" xfId="0" applyFont="1" applyAlignment="1">
      <alignment horizontal="center"/>
    </xf>
    <xf numFmtId="0" fontId="7" fillId="0" borderId="0" xfId="0" applyFont="1" applyAlignment="1">
      <alignment horizontal="center"/>
    </xf>
    <xf numFmtId="3" fontId="5" fillId="0" borderId="0" xfId="0" applyNumberFormat="1" applyFont="1" applyAlignment="1">
      <alignment horizontal="right" indent="4"/>
    </xf>
    <xf numFmtId="0" fontId="7" fillId="0" borderId="0" xfId="0" applyFont="1" applyAlignment="1">
      <alignment horizontal="right" indent="4"/>
    </xf>
    <xf numFmtId="0" fontId="6" fillId="0" borderId="0" xfId="0" applyFont="1" applyAlignment="1">
      <alignment horizontal="left" indent="1"/>
    </xf>
    <xf numFmtId="3" fontId="5" fillId="0" borderId="0" xfId="0" applyNumberFormat="1" applyFont="1" applyAlignment="1">
      <alignment horizontal="left" indent="1"/>
    </xf>
    <xf numFmtId="0" fontId="7" fillId="0" borderId="0" xfId="0" applyFont="1" applyAlignment="1">
      <alignment horizontal="left" indent="1"/>
    </xf>
    <xf numFmtId="0" fontId="5" fillId="0" borderId="0" xfId="0" applyFont="1" applyAlignment="1">
      <alignment horizontal="left" indent="1"/>
    </xf>
    <xf numFmtId="14" fontId="6" fillId="0" borderId="0" xfId="0" applyNumberFormat="1" applyFont="1" applyAlignment="1">
      <alignment horizontal="left" indent="1"/>
    </xf>
    <xf numFmtId="164" fontId="5" fillId="0" borderId="0" xfId="0" applyNumberFormat="1" applyFont="1" applyAlignment="1">
      <alignment horizontal="right" indent="4"/>
    </xf>
    <xf numFmtId="164" fontId="7" fillId="0" borderId="0" xfId="0" applyNumberFormat="1" applyFont="1" applyAlignment="1">
      <alignment horizontal="right" indent="4"/>
    </xf>
    <xf numFmtId="0" fontId="4" fillId="0" borderId="0" xfId="0" applyFont="1" applyAlignment="1">
      <alignment horizontal="center"/>
    </xf>
    <xf numFmtId="0" fontId="0" fillId="0" borderId="0" xfId="0" applyAlignment="1">
      <alignment horizontal="center"/>
    </xf>
    <xf numFmtId="0" fontId="6" fillId="0" borderId="0" xfId="0" applyFont="1" applyAlignment="1">
      <alignment horizontal="center"/>
    </xf>
    <xf numFmtId="14" fontId="6" fillId="0" borderId="0" xfId="0" applyNumberFormat="1" applyFont="1" applyAlignment="1">
      <alignment horizontal="center"/>
    </xf>
    <xf numFmtId="164" fontId="5" fillId="0" borderId="0" xfId="0"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0" fillId="0" borderId="0" xfId="0" applyAlignment="1">
      <alignment horizontal="center" vertical="center" wrapText="1"/>
    </xf>
    <xf numFmtId="0" fontId="0" fillId="0" borderId="0" xfId="0" applyAlignment="1">
      <alignment horizontal="center" vertical="center" wrapText="1"/>
    </xf>
    <xf numFmtId="3"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NumberFormat="1" applyAlignment="1">
      <alignment horizontal="center" vertical="center" wrapText="1"/>
    </xf>
    <xf numFmtId="4" fontId="0" fillId="0" borderId="0" xfId="0" applyNumberFormat="1" applyAlignment="1">
      <alignment horizontal="center" vertical="center" wrapText="1"/>
    </xf>
    <xf numFmtId="0" fontId="0" fillId="0" borderId="0" xfId="0" applyAlignment="1">
      <alignment vertical="center" wrapText="1"/>
    </xf>
    <xf numFmtId="0" fontId="3" fillId="0" borderId="0" xfId="0" applyFont="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164" fontId="7" fillId="0" borderId="0" xfId="0" applyNumberFormat="1" applyFont="1" applyAlignment="1">
      <alignment horizontal="right" indent="6"/>
    </xf>
    <xf numFmtId="164" fontId="5" fillId="0" borderId="0" xfId="0" applyNumberFormat="1" applyFont="1" applyAlignment="1">
      <alignment horizontal="right" indent="6"/>
    </xf>
    <xf numFmtId="0" fontId="6" fillId="0" borderId="0" xfId="0" applyFont="1" applyAlignment="1">
      <alignment horizontal="left" vertical="center"/>
    </xf>
    <xf numFmtId="0" fontId="5" fillId="0" borderId="0" xfId="0" applyFont="1" applyAlignment="1">
      <alignment horizontal="right" indent="6"/>
    </xf>
    <xf numFmtId="3" fontId="7" fillId="0" borderId="0" xfId="0" applyNumberFormat="1" applyFont="1" applyAlignment="1">
      <alignment horizontal="right" indent="4"/>
    </xf>
    <xf numFmtId="0" fontId="5" fillId="0" borderId="0" xfId="0" applyFont="1" applyAlignment="1">
      <alignment horizontal="right" indent="4"/>
    </xf>
    <xf numFmtId="0" fontId="12" fillId="0" borderId="0" xfId="0" applyFont="1" applyAlignment="1">
      <alignment horizontal="center"/>
    </xf>
    <xf numFmtId="164" fontId="12" fillId="0" borderId="0" xfId="0" applyNumberFormat="1" applyFont="1" applyAlignment="1">
      <alignment horizontal="right" indent="6"/>
    </xf>
    <xf numFmtId="0" fontId="12" fillId="0" borderId="0" xfId="0" applyFont="1" applyAlignment="1">
      <alignment horizontal="right" indent="4"/>
    </xf>
    <xf numFmtId="164" fontId="6" fillId="0" borderId="0" xfId="0" applyNumberFormat="1" applyFont="1" applyAlignment="1">
      <alignment horizontal="right" indent="6"/>
    </xf>
    <xf numFmtId="0" fontId="6" fillId="0" borderId="0" xfId="0" applyFont="1" applyAlignment="1">
      <alignment horizontal="right" indent="6"/>
    </xf>
    <xf numFmtId="0" fontId="6" fillId="0" borderId="0" xfId="0" applyFont="1"/>
    <xf numFmtId="164" fontId="6" fillId="0" borderId="0" xfId="0" applyNumberFormat="1" applyFont="1" applyAlignment="1">
      <alignment horizontal="center"/>
    </xf>
    <xf numFmtId="164" fontId="0" fillId="0" borderId="0" xfId="0" applyNumberFormat="1" applyAlignment="1">
      <alignment horizontal="right" vertical="center" wrapText="1" indent="1"/>
    </xf>
    <xf numFmtId="0" fontId="0" fillId="0" borderId="0" xfId="0" applyAlignment="1">
      <alignment horizontal="right" vertical="center" wrapText="1" inden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Sonuç!$S$23:$S$29</c:f>
              <c:strCache>
                <c:ptCount val="7"/>
                <c:pt idx="0">
                  <c:v>C.carpio (aynalı)</c:v>
                </c:pt>
                <c:pt idx="1">
                  <c:v>C.carpio(pullu)</c:v>
                </c:pt>
                <c:pt idx="2">
                  <c:v>L.esocinus</c:v>
                </c:pt>
                <c:pt idx="3">
                  <c:v>O.mykiss</c:v>
                </c:pt>
                <c:pt idx="4">
                  <c:v>C.umbla</c:v>
                </c:pt>
                <c:pt idx="5">
                  <c:v>C.trutta</c:v>
                </c:pt>
                <c:pt idx="6">
                  <c:v>L.mystaceus</c:v>
                </c:pt>
              </c:strCache>
            </c:strRef>
          </c:cat>
          <c:val>
            <c:numRef>
              <c:f>Sonuç!$T$23:$T$29</c:f>
              <c:numCache>
                <c:formatCode>General</c:formatCode>
                <c:ptCount val="7"/>
                <c:pt idx="0">
                  <c:v>30</c:v>
                </c:pt>
                <c:pt idx="1">
                  <c:v>35</c:v>
                </c:pt>
                <c:pt idx="2">
                  <c:v>22</c:v>
                </c:pt>
                <c:pt idx="3">
                  <c:v>23.5</c:v>
                </c:pt>
                <c:pt idx="4">
                  <c:v>24</c:v>
                </c:pt>
                <c:pt idx="5">
                  <c:v>18</c:v>
                </c:pt>
                <c:pt idx="6">
                  <c:v>35</c:v>
                </c:pt>
              </c:numCache>
            </c:numRef>
          </c:val>
        </c:ser>
        <c:dLbls>
          <c:showLegendKey val="0"/>
          <c:showVal val="1"/>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21</xdr:col>
      <xdr:colOff>259080</xdr:colOff>
      <xdr:row>19</xdr:row>
      <xdr:rowOff>175260</xdr:rowOff>
    </xdr:from>
    <xdr:to>
      <xdr:col>27</xdr:col>
      <xdr:colOff>358140</xdr:colOff>
      <xdr:row>32</xdr:row>
      <xdr:rowOff>60960</xdr:rowOff>
    </xdr:to>
    <xdr:graphicFrame macro="">
      <xdr:nvGraphicFramePr>
        <xdr:cNvPr id="2" name="Grafik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esktop\Stok%20&#199;al&#305;&#351;mas&#305;\Stok%20Uzatma%20a&#287;&#3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yfa2"/>
    </sheetNames>
    <sheetDataSet>
      <sheetData sheetId="0">
        <row r="23">
          <cell r="S23" t="str">
            <v>C.carpio (aynalı)</v>
          </cell>
          <cell r="T23">
            <v>30</v>
          </cell>
        </row>
        <row r="24">
          <cell r="S24" t="str">
            <v>C.carpio(pullu)</v>
          </cell>
          <cell r="T24">
            <v>35</v>
          </cell>
        </row>
        <row r="25">
          <cell r="S25" t="str">
            <v>L.esocinus</v>
          </cell>
          <cell r="T25">
            <v>22</v>
          </cell>
        </row>
        <row r="26">
          <cell r="S26" t="str">
            <v>O.mykiss</v>
          </cell>
          <cell r="T26">
            <v>23.5</v>
          </cell>
        </row>
        <row r="27">
          <cell r="S27" t="str">
            <v>C.umbla</v>
          </cell>
          <cell r="T27">
            <v>24</v>
          </cell>
        </row>
        <row r="28">
          <cell r="S28" t="str">
            <v>C.trutta</v>
          </cell>
          <cell r="T28">
            <v>18</v>
          </cell>
        </row>
        <row r="29">
          <cell r="S29" t="str">
            <v>L.mystaceus</v>
          </cell>
          <cell r="T29">
            <v>35</v>
          </cell>
        </row>
      </sheetData>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Views>
    <sheetView zoomScale="85" zoomScaleNormal="85" workbookViewId="0">
      <selection activeCell="C21" sqref="C21"/>
    </sheetView>
  </sheetViews>
  <sheetFormatPr defaultRowHeight="15" x14ac:dyDescent="0.25"/>
  <cols>
    <col min="1" max="1" width="25.7109375" customWidth="1"/>
    <col min="2" max="2" width="32.7109375" customWidth="1"/>
    <col min="3" max="3" width="34.140625" customWidth="1"/>
    <col min="4" max="4" width="34" customWidth="1"/>
  </cols>
  <sheetData>
    <row r="1" spans="1:4" ht="15.75" x14ac:dyDescent="0.25">
      <c r="A1" s="21" t="s">
        <v>42</v>
      </c>
      <c r="B1" s="22"/>
      <c r="C1" s="22"/>
      <c r="D1" s="22"/>
    </row>
    <row r="3" spans="1:4" x14ac:dyDescent="0.25">
      <c r="A3" s="1">
        <v>44369</v>
      </c>
      <c r="B3" s="3" t="s">
        <v>0</v>
      </c>
      <c r="C3" s="3" t="s">
        <v>1</v>
      </c>
      <c r="D3" s="4" t="s">
        <v>2</v>
      </c>
    </row>
    <row r="4" spans="1:4" x14ac:dyDescent="0.25">
      <c r="A4" s="2" t="s">
        <v>5</v>
      </c>
      <c r="B4" s="4" t="s">
        <v>4</v>
      </c>
      <c r="C4" s="4" t="s">
        <v>3</v>
      </c>
      <c r="D4" s="4" t="s">
        <v>3</v>
      </c>
    </row>
    <row r="5" spans="1:4" x14ac:dyDescent="0.25">
      <c r="A5" s="2" t="s">
        <v>6</v>
      </c>
      <c r="B5" s="4" t="s">
        <v>7</v>
      </c>
      <c r="C5" s="4" t="s">
        <v>8</v>
      </c>
      <c r="D5" s="4" t="s">
        <v>9</v>
      </c>
    </row>
    <row r="6" spans="1:4" x14ac:dyDescent="0.25">
      <c r="A6" s="2" t="s">
        <v>10</v>
      </c>
      <c r="B6" s="5" t="s">
        <v>11</v>
      </c>
      <c r="C6" s="5" t="s">
        <v>19</v>
      </c>
      <c r="D6" s="5" t="s">
        <v>15</v>
      </c>
    </row>
    <row r="7" spans="1:4" x14ac:dyDescent="0.25">
      <c r="A7" s="2"/>
      <c r="B7" s="5" t="s">
        <v>12</v>
      </c>
      <c r="C7" s="5" t="s">
        <v>20</v>
      </c>
      <c r="D7" s="5" t="s">
        <v>16</v>
      </c>
    </row>
    <row r="8" spans="1:4" x14ac:dyDescent="0.25">
      <c r="A8" s="2"/>
      <c r="B8" s="5" t="s">
        <v>13</v>
      </c>
      <c r="C8" s="5" t="s">
        <v>21</v>
      </c>
      <c r="D8" s="5" t="s">
        <v>17</v>
      </c>
    </row>
    <row r="9" spans="1:4" x14ac:dyDescent="0.25">
      <c r="A9" s="2"/>
      <c r="B9" s="5" t="s">
        <v>14</v>
      </c>
      <c r="C9" s="5" t="s">
        <v>22</v>
      </c>
      <c r="D9" s="5" t="s">
        <v>18</v>
      </c>
    </row>
    <row r="10" spans="1:4" x14ac:dyDescent="0.25">
      <c r="A10" s="2"/>
      <c r="B10" s="5"/>
      <c r="C10" s="5" t="s">
        <v>23</v>
      </c>
      <c r="D10" s="5"/>
    </row>
    <row r="11" spans="1:4" x14ac:dyDescent="0.25">
      <c r="A11" s="2"/>
      <c r="B11" s="5"/>
      <c r="C11" s="5" t="s">
        <v>24</v>
      </c>
      <c r="D11" s="5"/>
    </row>
    <row r="12" spans="1:4" x14ac:dyDescent="0.25">
      <c r="A12" s="2"/>
      <c r="B12" s="5"/>
      <c r="C12" s="5" t="s">
        <v>21</v>
      </c>
      <c r="D12" s="5"/>
    </row>
    <row r="13" spans="1:4" x14ac:dyDescent="0.25">
      <c r="A13" s="2"/>
      <c r="B13" s="5"/>
      <c r="C13" s="5" t="s">
        <v>25</v>
      </c>
      <c r="D13" s="5"/>
    </row>
    <row r="14" spans="1:4" x14ac:dyDescent="0.25">
      <c r="A14" s="2"/>
      <c r="B14" s="5"/>
      <c r="C14" s="5" t="s">
        <v>26</v>
      </c>
      <c r="D14" s="5"/>
    </row>
    <row r="15" spans="1:4" x14ac:dyDescent="0.25">
      <c r="A15" s="2"/>
      <c r="B15" s="5"/>
      <c r="C15" s="5" t="s">
        <v>27</v>
      </c>
      <c r="D15" s="5"/>
    </row>
    <row r="16" spans="1:4" x14ac:dyDescent="0.25">
      <c r="A16" s="2"/>
    </row>
    <row r="17" spans="1:4" x14ac:dyDescent="0.25">
      <c r="A17" s="1">
        <v>44370</v>
      </c>
      <c r="B17" s="3" t="s">
        <v>0</v>
      </c>
      <c r="C17" s="3" t="s">
        <v>1</v>
      </c>
      <c r="D17" s="4" t="s">
        <v>2</v>
      </c>
    </row>
    <row r="18" spans="1:4" x14ac:dyDescent="0.25">
      <c r="A18" s="2" t="s">
        <v>5</v>
      </c>
      <c r="B18" s="4" t="s">
        <v>4</v>
      </c>
      <c r="C18" s="4" t="s">
        <v>3</v>
      </c>
      <c r="D18" s="4" t="s">
        <v>3</v>
      </c>
    </row>
    <row r="19" spans="1:4" x14ac:dyDescent="0.25">
      <c r="A19" s="2" t="s">
        <v>6</v>
      </c>
      <c r="B19" s="4" t="s">
        <v>28</v>
      </c>
      <c r="C19" s="4" t="s">
        <v>29</v>
      </c>
      <c r="D19" s="4" t="s">
        <v>30</v>
      </c>
    </row>
    <row r="20" spans="1:4" x14ac:dyDescent="0.25">
      <c r="A20" s="2" t="s">
        <v>10</v>
      </c>
      <c r="B20" s="5" t="s">
        <v>31</v>
      </c>
      <c r="C20" s="5" t="s">
        <v>105</v>
      </c>
      <c r="D20" s="5" t="s">
        <v>32</v>
      </c>
    </row>
    <row r="21" spans="1:4" x14ac:dyDescent="0.25">
      <c r="A21" s="2"/>
      <c r="B21" s="5"/>
      <c r="C21" s="5"/>
      <c r="D21" s="5" t="s">
        <v>33</v>
      </c>
    </row>
    <row r="22" spans="1:4" x14ac:dyDescent="0.25">
      <c r="A22" s="2"/>
      <c r="B22" s="5"/>
      <c r="C22" s="5"/>
      <c r="D22" s="5" t="s">
        <v>35</v>
      </c>
    </row>
    <row r="23" spans="1:4" x14ac:dyDescent="0.25">
      <c r="A23" s="2"/>
      <c r="B23" s="5"/>
      <c r="C23" s="5"/>
      <c r="D23" s="5" t="s">
        <v>34</v>
      </c>
    </row>
    <row r="24" spans="1:4" x14ac:dyDescent="0.25">
      <c r="A24" s="2"/>
    </row>
    <row r="25" spans="1:4" x14ac:dyDescent="0.25">
      <c r="A25" s="2" t="s">
        <v>36</v>
      </c>
      <c r="B25" s="3" t="s">
        <v>0</v>
      </c>
      <c r="C25" s="3" t="s">
        <v>1</v>
      </c>
      <c r="D25" s="4" t="s">
        <v>2</v>
      </c>
    </row>
    <row r="26" spans="1:4" x14ac:dyDescent="0.25">
      <c r="A26" s="2" t="s">
        <v>5</v>
      </c>
      <c r="B26" s="4" t="s">
        <v>4</v>
      </c>
      <c r="C26" s="4" t="s">
        <v>3</v>
      </c>
      <c r="D26" s="4" t="s">
        <v>3</v>
      </c>
    </row>
    <row r="27" spans="1:4" x14ac:dyDescent="0.25">
      <c r="A27" s="2" t="s">
        <v>6</v>
      </c>
      <c r="B27" s="4" t="s">
        <v>37</v>
      </c>
      <c r="C27" s="4" t="s">
        <v>38</v>
      </c>
      <c r="D27" s="4" t="s">
        <v>39</v>
      </c>
    </row>
    <row r="28" spans="1:4" x14ac:dyDescent="0.25">
      <c r="A28" s="2" t="s">
        <v>10</v>
      </c>
      <c r="B28" s="5" t="s">
        <v>40</v>
      </c>
      <c r="C28" s="5"/>
      <c r="D28" s="5" t="s">
        <v>41</v>
      </c>
    </row>
    <row r="31" spans="1:4" x14ac:dyDescent="0.25">
      <c r="A31" t="s">
        <v>43</v>
      </c>
    </row>
    <row r="32" spans="1:4" x14ac:dyDescent="0.25">
      <c r="A32" t="s">
        <v>44</v>
      </c>
    </row>
    <row r="33" spans="1:1" x14ac:dyDescent="0.25">
      <c r="A33" t="s">
        <v>45</v>
      </c>
    </row>
    <row r="34" spans="1:1" x14ac:dyDescent="0.25">
      <c r="A34" t="s">
        <v>46</v>
      </c>
    </row>
  </sheetData>
  <mergeCells count="1">
    <mergeCell ref="A1:D1"/>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topLeftCell="A22" zoomScale="85" zoomScaleNormal="85" workbookViewId="0">
      <selection activeCell="D12" sqref="D12"/>
    </sheetView>
  </sheetViews>
  <sheetFormatPr defaultRowHeight="15" x14ac:dyDescent="0.25"/>
  <cols>
    <col min="1" max="1" width="17.28515625" style="6" customWidth="1"/>
    <col min="2" max="2" width="9.42578125" style="6" customWidth="1"/>
    <col min="3" max="3" width="12.7109375" style="6" customWidth="1"/>
    <col min="4" max="4" width="13.28515625" style="6" bestFit="1" customWidth="1"/>
    <col min="5" max="5" width="17.28515625" style="6" customWidth="1"/>
    <col min="6" max="6" width="9.28515625" style="6" customWidth="1"/>
    <col min="7" max="7" width="12.7109375" style="6" customWidth="1"/>
    <col min="8" max="8" width="13.28515625" style="6" customWidth="1"/>
    <col min="9" max="9" width="16.5703125" style="6" customWidth="1"/>
    <col min="10" max="10" width="9.140625" style="6" customWidth="1"/>
    <col min="11" max="11" width="12.7109375" style="6" customWidth="1"/>
    <col min="12" max="12" width="13.140625" style="6" customWidth="1"/>
    <col min="13" max="16384" width="9.140625" style="6"/>
  </cols>
  <sheetData>
    <row r="1" spans="1:12" x14ac:dyDescent="0.25">
      <c r="A1" s="23" t="s">
        <v>42</v>
      </c>
      <c r="B1" s="23"/>
      <c r="C1" s="23"/>
      <c r="D1" s="23"/>
      <c r="E1" s="23"/>
      <c r="F1" s="23"/>
      <c r="G1" s="23"/>
      <c r="H1" s="23"/>
      <c r="I1" s="23"/>
      <c r="J1" s="23"/>
      <c r="K1" s="23"/>
      <c r="L1" s="23"/>
    </row>
    <row r="3" spans="1:12" x14ac:dyDescent="0.25">
      <c r="A3" s="7">
        <v>44369</v>
      </c>
      <c r="B3" s="24" t="s">
        <v>0</v>
      </c>
      <c r="C3" s="24"/>
      <c r="D3" s="24"/>
      <c r="E3" s="7">
        <f>+A3</f>
        <v>44369</v>
      </c>
      <c r="F3" s="24" t="s">
        <v>0</v>
      </c>
      <c r="G3" s="24"/>
      <c r="H3" s="24"/>
      <c r="I3" s="7">
        <f>+A3</f>
        <v>44369</v>
      </c>
      <c r="J3" s="24" t="s">
        <v>0</v>
      </c>
      <c r="K3" s="24"/>
      <c r="L3" s="24"/>
    </row>
    <row r="4" spans="1:12" x14ac:dyDescent="0.25">
      <c r="A4" s="40" t="s">
        <v>5</v>
      </c>
      <c r="B4" s="8" t="s">
        <v>108</v>
      </c>
      <c r="C4" s="8" t="s">
        <v>107</v>
      </c>
      <c r="D4" s="8" t="s">
        <v>106</v>
      </c>
      <c r="E4" s="40" t="s">
        <v>5</v>
      </c>
      <c r="F4" s="8" t="s">
        <v>108</v>
      </c>
      <c r="G4" s="8" t="s">
        <v>107</v>
      </c>
      <c r="H4" s="8" t="s">
        <v>106</v>
      </c>
      <c r="I4" s="40" t="s">
        <v>5</v>
      </c>
      <c r="J4" s="8" t="s">
        <v>108</v>
      </c>
      <c r="K4" s="8" t="s">
        <v>107</v>
      </c>
      <c r="L4" s="8" t="s">
        <v>106</v>
      </c>
    </row>
    <row r="5" spans="1:12" x14ac:dyDescent="0.25">
      <c r="A5" s="40"/>
      <c r="B5" s="8">
        <v>150</v>
      </c>
      <c r="C5" s="8">
        <v>6</v>
      </c>
      <c r="D5" s="8">
        <v>70</v>
      </c>
      <c r="E5" s="40"/>
      <c r="F5" s="8">
        <v>100</v>
      </c>
      <c r="G5" s="8">
        <v>6</v>
      </c>
      <c r="H5" s="8">
        <v>60</v>
      </c>
      <c r="I5" s="40"/>
      <c r="J5" s="8">
        <v>100</v>
      </c>
      <c r="K5" s="8">
        <v>6</v>
      </c>
      <c r="L5" s="8">
        <v>60</v>
      </c>
    </row>
    <row r="6" spans="1:12" x14ac:dyDescent="0.25">
      <c r="A6" s="14" t="s">
        <v>6</v>
      </c>
      <c r="B6" s="23" t="s">
        <v>7</v>
      </c>
      <c r="C6" s="23"/>
      <c r="D6" s="23"/>
      <c r="E6" s="14" t="s">
        <v>6</v>
      </c>
      <c r="F6" s="23" t="s">
        <v>8</v>
      </c>
      <c r="G6" s="23"/>
      <c r="H6" s="23"/>
      <c r="I6" s="14" t="s">
        <v>6</v>
      </c>
      <c r="J6" s="23" t="s">
        <v>9</v>
      </c>
      <c r="K6" s="23"/>
      <c r="L6" s="23"/>
    </row>
    <row r="7" spans="1:12" x14ac:dyDescent="0.25">
      <c r="A7" s="14" t="s">
        <v>10</v>
      </c>
      <c r="B7" s="23" t="s">
        <v>47</v>
      </c>
      <c r="C7" s="23"/>
      <c r="D7" s="44" t="s">
        <v>48</v>
      </c>
      <c r="E7" s="14" t="s">
        <v>10</v>
      </c>
      <c r="F7" s="23" t="s">
        <v>47</v>
      </c>
      <c r="G7" s="23"/>
      <c r="H7" s="44" t="s">
        <v>48</v>
      </c>
      <c r="I7" s="14" t="s">
        <v>10</v>
      </c>
      <c r="J7" s="23" t="s">
        <v>47</v>
      </c>
      <c r="K7" s="23"/>
      <c r="L7" s="44" t="s">
        <v>48</v>
      </c>
    </row>
    <row r="8" spans="1:12" x14ac:dyDescent="0.25">
      <c r="A8" s="17" t="s">
        <v>49</v>
      </c>
      <c r="B8" s="39">
        <v>1.3</v>
      </c>
      <c r="C8" s="41"/>
      <c r="D8" s="12">
        <v>49</v>
      </c>
      <c r="E8" s="15" t="s">
        <v>49</v>
      </c>
      <c r="F8" s="39">
        <v>1.05</v>
      </c>
      <c r="G8" s="41"/>
      <c r="H8" s="12">
        <v>43</v>
      </c>
      <c r="I8" s="15" t="s">
        <v>49</v>
      </c>
      <c r="J8" s="39">
        <v>1.28</v>
      </c>
      <c r="K8" s="41"/>
      <c r="L8" s="12">
        <v>46</v>
      </c>
    </row>
    <row r="9" spans="1:12" x14ac:dyDescent="0.25">
      <c r="A9" s="17" t="s">
        <v>49</v>
      </c>
      <c r="B9" s="39">
        <v>1.23</v>
      </c>
      <c r="C9" s="41"/>
      <c r="D9" s="12">
        <v>47</v>
      </c>
      <c r="E9" s="15" t="s">
        <v>49</v>
      </c>
      <c r="F9" s="39">
        <v>1.33</v>
      </c>
      <c r="G9" s="41"/>
      <c r="H9" s="12">
        <v>46</v>
      </c>
      <c r="I9" s="15" t="s">
        <v>49</v>
      </c>
      <c r="J9" s="39">
        <v>1.25</v>
      </c>
      <c r="K9" s="41"/>
      <c r="L9" s="12">
        <v>42</v>
      </c>
    </row>
    <row r="10" spans="1:12" x14ac:dyDescent="0.25">
      <c r="A10" s="17" t="s">
        <v>49</v>
      </c>
      <c r="B10" s="39">
        <v>1.34</v>
      </c>
      <c r="C10" s="41"/>
      <c r="D10" s="12">
        <v>47</v>
      </c>
      <c r="E10" s="15" t="s">
        <v>49</v>
      </c>
      <c r="F10" s="39">
        <v>1.56</v>
      </c>
      <c r="G10" s="41"/>
      <c r="H10" s="12">
        <v>49</v>
      </c>
      <c r="I10" s="15" t="s">
        <v>49</v>
      </c>
      <c r="J10" s="39">
        <v>0.89</v>
      </c>
      <c r="K10" s="41"/>
      <c r="L10" s="12">
        <v>40</v>
      </c>
    </row>
    <row r="11" spans="1:12" x14ac:dyDescent="0.25">
      <c r="A11" s="17" t="s">
        <v>49</v>
      </c>
      <c r="B11" s="39">
        <v>1.31</v>
      </c>
      <c r="C11" s="41"/>
      <c r="D11" s="12">
        <v>45</v>
      </c>
      <c r="E11" s="15" t="s">
        <v>49</v>
      </c>
      <c r="F11" s="39">
        <v>1.29</v>
      </c>
      <c r="G11" s="41"/>
      <c r="H11" s="12">
        <v>45</v>
      </c>
      <c r="I11" s="15" t="s">
        <v>49</v>
      </c>
      <c r="J11" s="39">
        <v>1.35</v>
      </c>
      <c r="K11" s="41"/>
      <c r="L11" s="12">
        <v>45</v>
      </c>
    </row>
    <row r="12" spans="1:12" x14ac:dyDescent="0.25">
      <c r="A12" s="17" t="s">
        <v>49</v>
      </c>
      <c r="B12" s="39">
        <v>1.4350000000000001</v>
      </c>
      <c r="C12" s="41"/>
      <c r="D12" s="12">
        <v>47</v>
      </c>
      <c r="E12" s="15" t="s">
        <v>49</v>
      </c>
      <c r="F12" s="39">
        <v>1.33</v>
      </c>
      <c r="G12" s="41"/>
      <c r="H12" s="12">
        <v>46</v>
      </c>
      <c r="I12" s="15" t="s">
        <v>51</v>
      </c>
      <c r="J12" s="39">
        <v>2.68</v>
      </c>
      <c r="K12" s="41"/>
      <c r="L12" s="12">
        <v>65</v>
      </c>
    </row>
    <row r="13" spans="1:12" x14ac:dyDescent="0.25">
      <c r="A13" s="17" t="s">
        <v>51</v>
      </c>
      <c r="B13" s="39">
        <v>2.71</v>
      </c>
      <c r="C13" s="41"/>
      <c r="D13" s="12">
        <v>67</v>
      </c>
      <c r="E13" s="15" t="s">
        <v>49</v>
      </c>
      <c r="F13" s="39">
        <v>1.54</v>
      </c>
      <c r="G13" s="41"/>
      <c r="H13" s="12">
        <v>49</v>
      </c>
      <c r="I13" s="15" t="s">
        <v>51</v>
      </c>
      <c r="J13" s="39">
        <v>2.56</v>
      </c>
      <c r="K13" s="41"/>
      <c r="L13" s="12">
        <v>63</v>
      </c>
    </row>
    <row r="14" spans="1:12" x14ac:dyDescent="0.25">
      <c r="A14" s="17" t="s">
        <v>51</v>
      </c>
      <c r="B14" s="39">
        <v>2.52</v>
      </c>
      <c r="C14" s="41"/>
      <c r="D14" s="12">
        <v>61</v>
      </c>
      <c r="E14" s="15" t="s">
        <v>49</v>
      </c>
      <c r="F14" s="39">
        <v>1.47</v>
      </c>
      <c r="G14" s="41"/>
      <c r="H14" s="12">
        <v>48</v>
      </c>
      <c r="I14" s="15" t="s">
        <v>50</v>
      </c>
      <c r="J14" s="39">
        <v>1.4</v>
      </c>
      <c r="K14" s="41"/>
      <c r="L14" s="12">
        <v>66</v>
      </c>
    </row>
    <row r="15" spans="1:12" x14ac:dyDescent="0.25">
      <c r="A15" s="17" t="s">
        <v>50</v>
      </c>
      <c r="B15" s="39">
        <v>1.65</v>
      </c>
      <c r="C15" s="41"/>
      <c r="D15" s="12">
        <v>70</v>
      </c>
      <c r="E15" s="15" t="s">
        <v>49</v>
      </c>
      <c r="F15" s="39">
        <v>1.3</v>
      </c>
      <c r="G15" s="41"/>
      <c r="H15" s="12">
        <v>45</v>
      </c>
      <c r="I15" s="15"/>
      <c r="J15" s="39"/>
      <c r="K15" s="41"/>
      <c r="L15" s="12"/>
    </row>
    <row r="16" spans="1:12" x14ac:dyDescent="0.25">
      <c r="A16" s="17"/>
      <c r="B16" s="39"/>
      <c r="C16" s="41"/>
      <c r="D16" s="42"/>
      <c r="E16" s="15" t="s">
        <v>51</v>
      </c>
      <c r="F16" s="39">
        <v>2.76</v>
      </c>
      <c r="G16" s="41"/>
      <c r="H16" s="12">
        <v>69</v>
      </c>
      <c r="I16" s="15"/>
      <c r="J16" s="39"/>
      <c r="K16" s="41"/>
      <c r="L16" s="12"/>
    </row>
    <row r="17" spans="1:12" x14ac:dyDescent="0.25">
      <c r="A17" s="17"/>
      <c r="B17" s="39"/>
      <c r="C17" s="41"/>
      <c r="D17" s="42"/>
      <c r="E17" s="15" t="s">
        <v>50</v>
      </c>
      <c r="F17" s="39">
        <v>0.88</v>
      </c>
      <c r="G17" s="41"/>
      <c r="H17" s="12">
        <v>48</v>
      </c>
      <c r="I17" s="15"/>
      <c r="J17" s="39"/>
      <c r="K17" s="41"/>
      <c r="L17" s="12"/>
    </row>
    <row r="18" spans="1:12" x14ac:dyDescent="0.25">
      <c r="A18" s="14" t="s">
        <v>53</v>
      </c>
      <c r="B18" s="47">
        <f>SUM(B8:C17)</f>
        <v>13.494999999999999</v>
      </c>
      <c r="C18" s="48"/>
      <c r="D18" s="49"/>
      <c r="E18" s="14" t="s">
        <v>53</v>
      </c>
      <c r="F18" s="47">
        <f>SUM(F8:G17)</f>
        <v>14.510000000000003</v>
      </c>
      <c r="G18" s="48"/>
      <c r="H18" s="49"/>
      <c r="I18" s="14" t="s">
        <v>53</v>
      </c>
      <c r="J18" s="47">
        <f>SUM(J8:K17)</f>
        <v>11.410000000000002</v>
      </c>
      <c r="K18" s="48"/>
      <c r="L18" s="49"/>
    </row>
    <row r="19" spans="1:12" x14ac:dyDescent="0.25">
      <c r="A19" s="50">
        <f>+B18+F18+J18</f>
        <v>39.415000000000006</v>
      </c>
      <c r="B19" s="50"/>
      <c r="C19" s="50"/>
      <c r="D19" s="50"/>
      <c r="E19" s="50"/>
      <c r="F19" s="50"/>
      <c r="G19" s="50"/>
      <c r="H19" s="50"/>
      <c r="I19" s="50"/>
      <c r="J19" s="50"/>
      <c r="K19" s="50"/>
      <c r="L19" s="50"/>
    </row>
    <row r="20" spans="1:12" x14ac:dyDescent="0.25">
      <c r="A20" s="25"/>
      <c r="B20" s="10"/>
      <c r="C20" s="10"/>
      <c r="D20" s="10"/>
      <c r="E20" s="10"/>
      <c r="F20" s="10"/>
      <c r="G20" s="10"/>
      <c r="H20" s="10"/>
      <c r="I20" s="10"/>
      <c r="J20" s="10"/>
      <c r="K20" s="10"/>
      <c r="L20" s="10"/>
    </row>
    <row r="21" spans="1:12" x14ac:dyDescent="0.25">
      <c r="A21" s="7">
        <v>44370</v>
      </c>
      <c r="B21" s="24" t="s">
        <v>0</v>
      </c>
      <c r="C21" s="24"/>
      <c r="D21" s="24"/>
      <c r="E21" s="7">
        <f>+A21</f>
        <v>44370</v>
      </c>
      <c r="F21" s="24" t="s">
        <v>0</v>
      </c>
      <c r="G21" s="24"/>
      <c r="H21" s="24"/>
      <c r="I21" s="7">
        <f>+A21</f>
        <v>44370</v>
      </c>
      <c r="J21" s="24" t="s">
        <v>0</v>
      </c>
      <c r="K21" s="24"/>
      <c r="L21" s="24"/>
    </row>
    <row r="22" spans="1:12" x14ac:dyDescent="0.25">
      <c r="A22" s="40" t="s">
        <v>5</v>
      </c>
      <c r="B22" s="8" t="s">
        <v>108</v>
      </c>
      <c r="C22" s="8" t="s">
        <v>107</v>
      </c>
      <c r="D22" s="8" t="s">
        <v>106</v>
      </c>
      <c r="E22" s="40" t="s">
        <v>5</v>
      </c>
      <c r="F22" s="8" t="s">
        <v>108</v>
      </c>
      <c r="G22" s="8" t="s">
        <v>107</v>
      </c>
      <c r="H22" s="8" t="s">
        <v>106</v>
      </c>
      <c r="I22" s="40" t="s">
        <v>5</v>
      </c>
      <c r="J22" s="8" t="s">
        <v>108</v>
      </c>
      <c r="K22" s="8" t="s">
        <v>107</v>
      </c>
      <c r="L22" s="8" t="s">
        <v>106</v>
      </c>
    </row>
    <row r="23" spans="1:12" x14ac:dyDescent="0.25">
      <c r="A23" s="40"/>
      <c r="B23" s="8">
        <v>150</v>
      </c>
      <c r="C23" s="8">
        <v>6</v>
      </c>
      <c r="D23" s="8">
        <v>70</v>
      </c>
      <c r="E23" s="40"/>
      <c r="F23" s="8">
        <v>100</v>
      </c>
      <c r="G23" s="8">
        <v>6</v>
      </c>
      <c r="H23" s="8">
        <v>60</v>
      </c>
      <c r="I23" s="40"/>
      <c r="J23" s="8">
        <v>100</v>
      </c>
      <c r="K23" s="8">
        <v>6</v>
      </c>
      <c r="L23" s="8">
        <v>60</v>
      </c>
    </row>
    <row r="24" spans="1:12" x14ac:dyDescent="0.25">
      <c r="A24" s="9" t="s">
        <v>6</v>
      </c>
      <c r="B24" s="23" t="s">
        <v>28</v>
      </c>
      <c r="C24" s="23"/>
      <c r="D24" s="23"/>
      <c r="E24" s="14" t="s">
        <v>6</v>
      </c>
      <c r="F24" s="23" t="s">
        <v>29</v>
      </c>
      <c r="G24" s="23"/>
      <c r="H24" s="23"/>
      <c r="I24" s="14" t="s">
        <v>6</v>
      </c>
      <c r="J24" s="23" t="s">
        <v>30</v>
      </c>
      <c r="K24" s="23"/>
      <c r="L24" s="23"/>
    </row>
    <row r="25" spans="1:12" x14ac:dyDescent="0.25">
      <c r="A25" s="14" t="s">
        <v>10</v>
      </c>
      <c r="B25" s="23" t="s">
        <v>47</v>
      </c>
      <c r="C25" s="23"/>
      <c r="D25" s="44" t="s">
        <v>48</v>
      </c>
      <c r="E25" s="14" t="s">
        <v>10</v>
      </c>
      <c r="F25" s="23" t="s">
        <v>47</v>
      </c>
      <c r="G25" s="23"/>
      <c r="H25" s="44" t="s">
        <v>48</v>
      </c>
      <c r="I25" s="14" t="s">
        <v>10</v>
      </c>
      <c r="J25" s="23" t="s">
        <v>47</v>
      </c>
      <c r="K25" s="23"/>
      <c r="L25" s="44" t="s">
        <v>48</v>
      </c>
    </row>
    <row r="26" spans="1:12" x14ac:dyDescent="0.25">
      <c r="A26" s="17" t="s">
        <v>49</v>
      </c>
      <c r="B26" s="38">
        <v>1.08</v>
      </c>
      <c r="C26" s="38"/>
      <c r="D26" s="43">
        <v>45</v>
      </c>
      <c r="E26" s="15" t="s">
        <v>49</v>
      </c>
      <c r="F26" s="39">
        <v>1.54</v>
      </c>
      <c r="G26" s="41"/>
      <c r="H26" s="12">
        <v>48</v>
      </c>
      <c r="I26" s="15" t="s">
        <v>49</v>
      </c>
      <c r="J26" s="39">
        <v>1.1100000000000001</v>
      </c>
      <c r="K26" s="41"/>
      <c r="L26" s="12">
        <v>43</v>
      </c>
    </row>
    <row r="27" spans="1:12" x14ac:dyDescent="0.25">
      <c r="A27" s="17" t="s">
        <v>49</v>
      </c>
      <c r="B27" s="39">
        <v>1.36</v>
      </c>
      <c r="C27" s="39"/>
      <c r="D27" s="12">
        <v>47</v>
      </c>
      <c r="E27" s="15" t="s">
        <v>49</v>
      </c>
      <c r="F27" s="39">
        <v>1.31</v>
      </c>
      <c r="G27" s="41"/>
      <c r="H27" s="12">
        <v>46</v>
      </c>
      <c r="I27" s="15" t="s">
        <v>49</v>
      </c>
      <c r="J27" s="39">
        <v>1.79</v>
      </c>
      <c r="K27" s="41"/>
      <c r="L27" s="12">
        <v>51</v>
      </c>
    </row>
    <row r="28" spans="1:12" x14ac:dyDescent="0.25">
      <c r="A28" s="17" t="s">
        <v>49</v>
      </c>
      <c r="B28" s="39">
        <v>1.45</v>
      </c>
      <c r="C28" s="39"/>
      <c r="D28" s="12">
        <v>48</v>
      </c>
      <c r="E28" s="15" t="s">
        <v>49</v>
      </c>
      <c r="F28" s="39">
        <v>1.43</v>
      </c>
      <c r="G28" s="41"/>
      <c r="H28" s="12">
        <v>47</v>
      </c>
      <c r="I28" s="15" t="s">
        <v>49</v>
      </c>
      <c r="J28" s="39">
        <v>1.1499999999999999</v>
      </c>
      <c r="K28" s="41"/>
      <c r="L28" s="12">
        <v>44</v>
      </c>
    </row>
    <row r="29" spans="1:12" x14ac:dyDescent="0.25">
      <c r="A29" s="17" t="s">
        <v>49</v>
      </c>
      <c r="B29" s="39">
        <v>1.51</v>
      </c>
      <c r="C29" s="39"/>
      <c r="D29" s="12">
        <v>47</v>
      </c>
      <c r="E29" s="15" t="s">
        <v>49</v>
      </c>
      <c r="F29" s="39">
        <v>1.28</v>
      </c>
      <c r="G29" s="41"/>
      <c r="H29" s="12">
        <v>45</v>
      </c>
      <c r="I29" s="15" t="s">
        <v>49</v>
      </c>
      <c r="J29" s="39">
        <v>1.33</v>
      </c>
      <c r="K29" s="41"/>
      <c r="L29" s="12">
        <v>45</v>
      </c>
    </row>
    <row r="30" spans="1:12" x14ac:dyDescent="0.25">
      <c r="A30" s="17" t="s">
        <v>51</v>
      </c>
      <c r="B30" s="39">
        <v>2.61</v>
      </c>
      <c r="C30" s="39"/>
      <c r="D30" s="12">
        <v>64</v>
      </c>
      <c r="E30" s="15" t="s">
        <v>51</v>
      </c>
      <c r="F30" s="39">
        <v>2.5299999999999998</v>
      </c>
      <c r="G30" s="41"/>
      <c r="H30" s="12">
        <v>63</v>
      </c>
      <c r="I30" s="15" t="s">
        <v>50</v>
      </c>
      <c r="J30" s="39">
        <v>1.83</v>
      </c>
      <c r="K30" s="41"/>
      <c r="L30" s="12">
        <v>72</v>
      </c>
    </row>
    <row r="31" spans="1:12" x14ac:dyDescent="0.25">
      <c r="A31" s="17" t="s">
        <v>50</v>
      </c>
      <c r="B31" s="39">
        <v>2.7</v>
      </c>
      <c r="C31" s="39"/>
      <c r="D31" s="12">
        <v>75</v>
      </c>
      <c r="E31" s="15" t="s">
        <v>50</v>
      </c>
      <c r="F31" s="39">
        <v>5.08</v>
      </c>
      <c r="G31" s="41"/>
      <c r="H31" s="12">
        <v>89</v>
      </c>
      <c r="I31" s="15"/>
      <c r="J31" s="39"/>
      <c r="K31" s="41"/>
      <c r="L31" s="12"/>
    </row>
    <row r="32" spans="1:12" x14ac:dyDescent="0.25">
      <c r="A32" s="17" t="s">
        <v>50</v>
      </c>
      <c r="B32" s="39">
        <v>1.76</v>
      </c>
      <c r="C32" s="39"/>
      <c r="D32" s="12">
        <v>70</v>
      </c>
      <c r="E32" s="15"/>
      <c r="F32" s="39"/>
      <c r="G32" s="41"/>
      <c r="H32" s="12"/>
      <c r="I32" s="15"/>
      <c r="J32" s="39"/>
      <c r="K32" s="41"/>
      <c r="L32" s="12"/>
    </row>
    <row r="33" spans="1:12" x14ac:dyDescent="0.25">
      <c r="A33" s="17"/>
      <c r="B33" s="39"/>
      <c r="C33" s="39"/>
      <c r="D33" s="12"/>
      <c r="E33" s="15"/>
      <c r="F33" s="39"/>
      <c r="G33" s="41"/>
      <c r="H33" s="12"/>
      <c r="I33" s="15"/>
      <c r="J33" s="39"/>
      <c r="K33" s="41"/>
      <c r="L33" s="12"/>
    </row>
    <row r="34" spans="1:12" x14ac:dyDescent="0.25">
      <c r="A34" s="17"/>
      <c r="B34" s="39"/>
      <c r="C34" s="39"/>
      <c r="D34" s="12"/>
      <c r="E34" s="15"/>
      <c r="F34" s="39"/>
      <c r="G34" s="41"/>
      <c r="H34" s="12"/>
      <c r="I34" s="15"/>
      <c r="J34" s="39"/>
      <c r="K34" s="41"/>
      <c r="L34" s="12"/>
    </row>
    <row r="35" spans="1:12" x14ac:dyDescent="0.25">
      <c r="A35" s="17"/>
      <c r="B35" s="38"/>
      <c r="C35" s="38"/>
      <c r="D35" s="13"/>
      <c r="E35" s="15"/>
      <c r="F35" s="39"/>
      <c r="G35" s="41"/>
      <c r="H35" s="12"/>
      <c r="I35" s="15"/>
      <c r="J35" s="39"/>
      <c r="K35" s="41"/>
      <c r="L35" s="12"/>
    </row>
    <row r="36" spans="1:12" x14ac:dyDescent="0.25">
      <c r="A36" s="14" t="s">
        <v>53</v>
      </c>
      <c r="B36" s="45">
        <f>+SUM(B26:B35)</f>
        <v>12.47</v>
      </c>
      <c r="C36" s="45"/>
      <c r="D36" s="46"/>
      <c r="E36" s="14" t="s">
        <v>53</v>
      </c>
      <c r="F36" s="47">
        <f>SUM(F26:G35)</f>
        <v>13.17</v>
      </c>
      <c r="G36" s="48"/>
      <c r="H36" s="49"/>
      <c r="I36" s="14" t="s">
        <v>53</v>
      </c>
      <c r="J36" s="47">
        <f>SUM(J26:K35)</f>
        <v>7.2100000000000009</v>
      </c>
      <c r="K36" s="48"/>
      <c r="L36" s="49"/>
    </row>
    <row r="37" spans="1:12" x14ac:dyDescent="0.25">
      <c r="A37" s="50">
        <f>+B36+F36+J36</f>
        <v>32.85</v>
      </c>
      <c r="B37" s="50"/>
      <c r="C37" s="50"/>
      <c r="D37" s="50"/>
      <c r="E37" s="50"/>
      <c r="F37" s="50"/>
      <c r="G37" s="50"/>
      <c r="H37" s="50"/>
      <c r="I37" s="50"/>
      <c r="J37" s="50"/>
      <c r="K37" s="50"/>
      <c r="L37" s="50"/>
    </row>
    <row r="38" spans="1:12" x14ac:dyDescent="0.25">
      <c r="A38" s="17"/>
      <c r="B38" s="20"/>
      <c r="C38" s="13"/>
      <c r="D38" s="13"/>
      <c r="E38" s="16"/>
      <c r="F38" s="20"/>
      <c r="G38" s="13"/>
      <c r="H38" s="17"/>
      <c r="I38" s="20"/>
      <c r="J38" s="13"/>
      <c r="K38" s="13"/>
      <c r="L38" s="13"/>
    </row>
    <row r="39" spans="1:12" x14ac:dyDescent="0.25">
      <c r="A39" s="7">
        <v>44371</v>
      </c>
      <c r="B39" s="24" t="s">
        <v>0</v>
      </c>
      <c r="C39" s="24"/>
      <c r="D39" s="24"/>
      <c r="E39" s="7">
        <f>+A39</f>
        <v>44371</v>
      </c>
      <c r="F39" s="24" t="s">
        <v>0</v>
      </c>
      <c r="G39" s="24"/>
      <c r="H39" s="24"/>
      <c r="I39" s="7">
        <f>+A39</f>
        <v>44371</v>
      </c>
      <c r="J39" s="24" t="s">
        <v>0</v>
      </c>
      <c r="K39" s="24"/>
      <c r="L39" s="24"/>
    </row>
    <row r="40" spans="1:12" x14ac:dyDescent="0.25">
      <c r="A40" s="40" t="s">
        <v>5</v>
      </c>
      <c r="B40" s="8" t="s">
        <v>108</v>
      </c>
      <c r="C40" s="8" t="s">
        <v>107</v>
      </c>
      <c r="D40" s="8" t="s">
        <v>106</v>
      </c>
      <c r="E40" s="40" t="s">
        <v>5</v>
      </c>
      <c r="F40" s="8" t="s">
        <v>108</v>
      </c>
      <c r="G40" s="8" t="s">
        <v>107</v>
      </c>
      <c r="H40" s="8" t="s">
        <v>106</v>
      </c>
      <c r="I40" s="40" t="s">
        <v>5</v>
      </c>
      <c r="J40" s="8" t="s">
        <v>108</v>
      </c>
      <c r="K40" s="8" t="s">
        <v>107</v>
      </c>
      <c r="L40" s="8" t="s">
        <v>106</v>
      </c>
    </row>
    <row r="41" spans="1:12" x14ac:dyDescent="0.25">
      <c r="A41" s="40"/>
      <c r="B41" s="8">
        <v>150</v>
      </c>
      <c r="C41" s="8">
        <v>6</v>
      </c>
      <c r="D41" s="8">
        <v>70</v>
      </c>
      <c r="E41" s="40"/>
      <c r="F41" s="8">
        <v>100</v>
      </c>
      <c r="G41" s="8">
        <v>6</v>
      </c>
      <c r="H41" s="8">
        <v>60</v>
      </c>
      <c r="I41" s="40"/>
      <c r="J41" s="8">
        <v>100</v>
      </c>
      <c r="K41" s="8">
        <v>6</v>
      </c>
      <c r="L41" s="8">
        <v>60</v>
      </c>
    </row>
    <row r="42" spans="1:12" x14ac:dyDescent="0.25">
      <c r="A42" s="9" t="s">
        <v>6</v>
      </c>
      <c r="B42" s="23" t="s">
        <v>37</v>
      </c>
      <c r="C42" s="23"/>
      <c r="D42" s="23"/>
      <c r="E42" s="14" t="s">
        <v>6</v>
      </c>
      <c r="F42" s="23" t="s">
        <v>38</v>
      </c>
      <c r="G42" s="23"/>
      <c r="H42" s="23"/>
      <c r="I42" s="14" t="s">
        <v>6</v>
      </c>
      <c r="J42" s="23" t="s">
        <v>39</v>
      </c>
      <c r="K42" s="23"/>
      <c r="L42" s="23"/>
    </row>
    <row r="43" spans="1:12" x14ac:dyDescent="0.25">
      <c r="A43" s="14" t="s">
        <v>10</v>
      </c>
      <c r="B43" s="23" t="s">
        <v>47</v>
      </c>
      <c r="C43" s="23"/>
      <c r="D43" s="44" t="s">
        <v>48</v>
      </c>
      <c r="E43" s="14" t="s">
        <v>10</v>
      </c>
      <c r="F43" s="23" t="s">
        <v>47</v>
      </c>
      <c r="G43" s="23"/>
      <c r="H43" s="44" t="s">
        <v>48</v>
      </c>
      <c r="I43" s="14" t="s">
        <v>10</v>
      </c>
      <c r="J43" s="23" t="s">
        <v>47</v>
      </c>
      <c r="K43" s="23"/>
      <c r="L43" s="44" t="s">
        <v>48</v>
      </c>
    </row>
    <row r="44" spans="1:12" x14ac:dyDescent="0.25">
      <c r="A44" s="17" t="s">
        <v>49</v>
      </c>
      <c r="B44" s="38">
        <v>1.52</v>
      </c>
      <c r="C44" s="38"/>
      <c r="D44" s="43">
        <v>48</v>
      </c>
      <c r="E44" s="15" t="s">
        <v>49</v>
      </c>
      <c r="F44" s="39">
        <v>1.34</v>
      </c>
      <c r="G44" s="41"/>
      <c r="H44" s="12">
        <v>48</v>
      </c>
      <c r="I44" s="15" t="s">
        <v>49</v>
      </c>
      <c r="J44" s="39">
        <v>1.25</v>
      </c>
      <c r="K44" s="41"/>
      <c r="L44" s="12">
        <v>43</v>
      </c>
    </row>
    <row r="45" spans="1:12" x14ac:dyDescent="0.25">
      <c r="A45" s="17" t="s">
        <v>49</v>
      </c>
      <c r="B45" s="38">
        <v>1.31</v>
      </c>
      <c r="C45" s="38"/>
      <c r="D45" s="43">
        <v>47</v>
      </c>
      <c r="E45" s="15" t="s">
        <v>49</v>
      </c>
      <c r="F45" s="39">
        <v>1.31</v>
      </c>
      <c r="G45" s="39"/>
      <c r="H45" s="12">
        <v>47</v>
      </c>
      <c r="I45" s="15" t="s">
        <v>49</v>
      </c>
      <c r="J45" s="39">
        <v>1.67</v>
      </c>
      <c r="K45" s="41"/>
      <c r="L45" s="12">
        <v>49</v>
      </c>
    </row>
    <row r="46" spans="1:12" x14ac:dyDescent="0.25">
      <c r="A46" s="17" t="s">
        <v>49</v>
      </c>
      <c r="B46" s="38">
        <v>1.27</v>
      </c>
      <c r="C46" s="38"/>
      <c r="D46" s="43">
        <v>46</v>
      </c>
      <c r="E46" s="15" t="s">
        <v>49</v>
      </c>
      <c r="F46" s="39">
        <v>1.47</v>
      </c>
      <c r="G46" s="39"/>
      <c r="H46" s="12">
        <v>45</v>
      </c>
      <c r="I46" s="15" t="s">
        <v>49</v>
      </c>
      <c r="J46" s="39">
        <v>1.52</v>
      </c>
      <c r="K46" s="41"/>
      <c r="L46" s="12">
        <v>47</v>
      </c>
    </row>
    <row r="47" spans="1:12" x14ac:dyDescent="0.25">
      <c r="A47" s="17" t="s">
        <v>49</v>
      </c>
      <c r="B47" s="38">
        <v>1.37</v>
      </c>
      <c r="C47" s="38"/>
      <c r="D47" s="43">
        <v>48</v>
      </c>
      <c r="E47" s="15" t="s">
        <v>51</v>
      </c>
      <c r="F47" s="39">
        <v>2.4</v>
      </c>
      <c r="G47" s="39"/>
      <c r="H47" s="12">
        <v>63</v>
      </c>
      <c r="I47" s="15" t="s">
        <v>49</v>
      </c>
      <c r="J47" s="39">
        <v>1.46</v>
      </c>
      <c r="K47" s="41"/>
      <c r="L47" s="12">
        <v>46</v>
      </c>
    </row>
    <row r="48" spans="1:12" x14ac:dyDescent="0.25">
      <c r="A48" s="17" t="s">
        <v>51</v>
      </c>
      <c r="B48" s="38">
        <v>2.4500000000000002</v>
      </c>
      <c r="C48" s="38"/>
      <c r="D48" s="43">
        <v>61</v>
      </c>
      <c r="E48" s="15" t="s">
        <v>50</v>
      </c>
      <c r="F48" s="39">
        <v>2.52</v>
      </c>
      <c r="G48" s="41"/>
      <c r="H48" s="12">
        <v>74</v>
      </c>
      <c r="I48" s="15" t="s">
        <v>50</v>
      </c>
      <c r="J48" s="39">
        <v>1.87</v>
      </c>
      <c r="K48" s="41"/>
      <c r="L48" s="12">
        <v>73</v>
      </c>
    </row>
    <row r="49" spans="1:12" x14ac:dyDescent="0.25">
      <c r="A49" s="17" t="s">
        <v>50</v>
      </c>
      <c r="B49" s="38">
        <v>2.1</v>
      </c>
      <c r="C49" s="38"/>
      <c r="D49" s="43">
        <v>71</v>
      </c>
      <c r="E49" s="15"/>
      <c r="F49" s="39"/>
      <c r="G49" s="41"/>
      <c r="H49" s="12"/>
      <c r="I49" s="15" t="s">
        <v>50</v>
      </c>
      <c r="J49" s="39">
        <v>2.99</v>
      </c>
      <c r="K49" s="41"/>
      <c r="L49" s="12">
        <v>76</v>
      </c>
    </row>
    <row r="50" spans="1:12" x14ac:dyDescent="0.25">
      <c r="A50" s="17"/>
      <c r="B50" s="38"/>
      <c r="C50" s="38"/>
      <c r="D50" s="43"/>
      <c r="E50" s="15"/>
      <c r="F50" s="39"/>
      <c r="G50" s="41"/>
      <c r="H50" s="12"/>
      <c r="I50" s="15"/>
      <c r="J50" s="39"/>
      <c r="K50" s="41"/>
      <c r="L50" s="12"/>
    </row>
    <row r="51" spans="1:12" x14ac:dyDescent="0.25">
      <c r="A51" s="17"/>
      <c r="B51" s="38"/>
      <c r="C51" s="38"/>
      <c r="D51" s="43"/>
      <c r="E51" s="15"/>
      <c r="F51" s="39"/>
      <c r="G51" s="41"/>
      <c r="H51" s="12"/>
      <c r="I51" s="15"/>
      <c r="J51" s="39"/>
      <c r="K51" s="41"/>
      <c r="L51" s="12"/>
    </row>
    <row r="52" spans="1:12" x14ac:dyDescent="0.25">
      <c r="A52" s="17"/>
      <c r="B52" s="38"/>
      <c r="C52" s="38"/>
      <c r="D52" s="43"/>
      <c r="E52" s="15"/>
      <c r="F52" s="39"/>
      <c r="G52" s="41"/>
      <c r="H52" s="12"/>
      <c r="I52" s="15"/>
      <c r="J52" s="39"/>
      <c r="K52" s="41"/>
      <c r="L52" s="12"/>
    </row>
    <row r="53" spans="1:12" x14ac:dyDescent="0.25">
      <c r="A53" s="17"/>
      <c r="B53" s="38"/>
      <c r="C53" s="38"/>
      <c r="D53" s="43"/>
      <c r="E53" s="15"/>
      <c r="F53" s="39"/>
      <c r="G53" s="41"/>
      <c r="H53" s="12"/>
      <c r="I53" s="15"/>
      <c r="J53" s="39"/>
      <c r="K53" s="41"/>
      <c r="L53" s="12"/>
    </row>
    <row r="54" spans="1:12" x14ac:dyDescent="0.25">
      <c r="A54" s="14" t="s">
        <v>53</v>
      </c>
      <c r="B54" s="45">
        <f>+SUM(B44:B53)</f>
        <v>10.02</v>
      </c>
      <c r="C54" s="45"/>
      <c r="D54" s="46"/>
      <c r="E54" s="14" t="s">
        <v>53</v>
      </c>
      <c r="F54" s="47">
        <f>SUM(F44:G53)</f>
        <v>9.0399999999999991</v>
      </c>
      <c r="G54" s="48"/>
      <c r="H54" s="49"/>
      <c r="I54" s="14" t="s">
        <v>53</v>
      </c>
      <c r="J54" s="47">
        <f>SUM(J44:K53)</f>
        <v>10.76</v>
      </c>
      <c r="K54" s="48"/>
      <c r="L54" s="49"/>
    </row>
    <row r="55" spans="1:12" x14ac:dyDescent="0.25">
      <c r="A55" s="50">
        <f>+B54+F54+J54</f>
        <v>29.82</v>
      </c>
      <c r="B55" s="50"/>
      <c r="C55" s="50"/>
      <c r="D55" s="50"/>
      <c r="E55" s="50"/>
      <c r="F55" s="50"/>
      <c r="G55" s="50"/>
      <c r="H55" s="50"/>
      <c r="I55" s="50"/>
      <c r="J55" s="50"/>
      <c r="K55" s="50"/>
      <c r="L55" s="50"/>
    </row>
    <row r="56" spans="1:12" x14ac:dyDescent="0.25">
      <c r="A56" s="17"/>
      <c r="B56" s="20"/>
      <c r="C56" s="13"/>
      <c r="D56" s="13"/>
      <c r="E56" s="16"/>
      <c r="F56" s="20"/>
      <c r="G56" s="13"/>
      <c r="H56" s="17"/>
      <c r="I56" s="20"/>
      <c r="J56" s="13"/>
      <c r="K56" s="13"/>
      <c r="L56" s="13"/>
    </row>
    <row r="57" spans="1:12" x14ac:dyDescent="0.25">
      <c r="A57" s="6" t="s">
        <v>43</v>
      </c>
      <c r="H57" s="17"/>
    </row>
    <row r="58" spans="1:12" x14ac:dyDescent="0.25">
      <c r="A58" s="6" t="s">
        <v>44</v>
      </c>
      <c r="H58" s="17"/>
    </row>
    <row r="59" spans="1:12" x14ac:dyDescent="0.25">
      <c r="A59" s="6" t="s">
        <v>45</v>
      </c>
      <c r="H59" s="17"/>
    </row>
    <row r="60" spans="1:12" x14ac:dyDescent="0.25">
      <c r="A60" s="6" t="s">
        <v>46</v>
      </c>
      <c r="H60" s="17"/>
    </row>
    <row r="61" spans="1:12" x14ac:dyDescent="0.25">
      <c r="H61" s="17"/>
    </row>
    <row r="62" spans="1:12" x14ac:dyDescent="0.25">
      <c r="H62" s="17"/>
    </row>
    <row r="63" spans="1:12" x14ac:dyDescent="0.25">
      <c r="H63" s="17"/>
    </row>
    <row r="64" spans="1:12" x14ac:dyDescent="0.25">
      <c r="H64" s="17"/>
    </row>
    <row r="65" spans="8:8" x14ac:dyDescent="0.25">
      <c r="H65" s="17"/>
    </row>
  </sheetData>
  <mergeCells count="139">
    <mergeCell ref="B54:C54"/>
    <mergeCell ref="F54:G54"/>
    <mergeCell ref="J54:K54"/>
    <mergeCell ref="A55:L55"/>
    <mergeCell ref="B52:C52"/>
    <mergeCell ref="F52:G52"/>
    <mergeCell ref="J52:K52"/>
    <mergeCell ref="B53:C53"/>
    <mergeCell ref="F53:G53"/>
    <mergeCell ref="J53:K53"/>
    <mergeCell ref="B50:C50"/>
    <mergeCell ref="F50:G50"/>
    <mergeCell ref="J50:K50"/>
    <mergeCell ref="B51:C51"/>
    <mergeCell ref="F51:G51"/>
    <mergeCell ref="J51:K51"/>
    <mergeCell ref="B48:C48"/>
    <mergeCell ref="F48:G48"/>
    <mergeCell ref="J48:K48"/>
    <mergeCell ref="B49:C49"/>
    <mergeCell ref="F49:G49"/>
    <mergeCell ref="J49:K49"/>
    <mergeCell ref="B46:C46"/>
    <mergeCell ref="F46:G46"/>
    <mergeCell ref="J46:K46"/>
    <mergeCell ref="B47:C47"/>
    <mergeCell ref="F47:G47"/>
    <mergeCell ref="J47:K47"/>
    <mergeCell ref="B44:C44"/>
    <mergeCell ref="F44:G44"/>
    <mergeCell ref="J44:K44"/>
    <mergeCell ref="B45:C45"/>
    <mergeCell ref="F45:G45"/>
    <mergeCell ref="J45:K45"/>
    <mergeCell ref="B42:D42"/>
    <mergeCell ref="F42:H42"/>
    <mergeCell ref="J42:L42"/>
    <mergeCell ref="B43:C43"/>
    <mergeCell ref="F43:G43"/>
    <mergeCell ref="J43:K43"/>
    <mergeCell ref="B39:D39"/>
    <mergeCell ref="F39:H39"/>
    <mergeCell ref="J39:L39"/>
    <mergeCell ref="A40:A41"/>
    <mergeCell ref="E40:E41"/>
    <mergeCell ref="I40:I41"/>
    <mergeCell ref="F35:G35"/>
    <mergeCell ref="J35:K35"/>
    <mergeCell ref="F36:G36"/>
    <mergeCell ref="J36:K36"/>
    <mergeCell ref="A37:L37"/>
    <mergeCell ref="F32:G32"/>
    <mergeCell ref="J32:K32"/>
    <mergeCell ref="F33:G33"/>
    <mergeCell ref="J33:K33"/>
    <mergeCell ref="F34:G34"/>
    <mergeCell ref="J34:K34"/>
    <mergeCell ref="F29:G29"/>
    <mergeCell ref="J29:K29"/>
    <mergeCell ref="F30:G30"/>
    <mergeCell ref="J30:K30"/>
    <mergeCell ref="F31:G31"/>
    <mergeCell ref="J31:K31"/>
    <mergeCell ref="J26:K26"/>
    <mergeCell ref="F27:G27"/>
    <mergeCell ref="J27:K27"/>
    <mergeCell ref="F28:G28"/>
    <mergeCell ref="J28:K28"/>
    <mergeCell ref="E22:E23"/>
    <mergeCell ref="I22:I23"/>
    <mergeCell ref="F24:H24"/>
    <mergeCell ref="J24:L24"/>
    <mergeCell ref="F25:G25"/>
    <mergeCell ref="J25:K25"/>
    <mergeCell ref="J17:K17"/>
    <mergeCell ref="J18:K18"/>
    <mergeCell ref="A1:L1"/>
    <mergeCell ref="A19:L19"/>
    <mergeCell ref="F21:H21"/>
    <mergeCell ref="J21:L21"/>
    <mergeCell ref="F17:G17"/>
    <mergeCell ref="F18:G18"/>
    <mergeCell ref="F3:H3"/>
    <mergeCell ref="J3:L3"/>
    <mergeCell ref="I4:I5"/>
    <mergeCell ref="J6:L6"/>
    <mergeCell ref="J7:K7"/>
    <mergeCell ref="J8:K8"/>
    <mergeCell ref="J9:K9"/>
    <mergeCell ref="J10:K10"/>
    <mergeCell ref="J11:K11"/>
    <mergeCell ref="J12:K12"/>
    <mergeCell ref="J13:K13"/>
    <mergeCell ref="J14:K14"/>
    <mergeCell ref="J15:K15"/>
    <mergeCell ref="J16:K16"/>
    <mergeCell ref="F12:G12"/>
    <mergeCell ref="F13:G13"/>
    <mergeCell ref="F14:G14"/>
    <mergeCell ref="F15:G15"/>
    <mergeCell ref="F16:G16"/>
    <mergeCell ref="F7:G7"/>
    <mergeCell ref="F8:G8"/>
    <mergeCell ref="F9:G9"/>
    <mergeCell ref="F10:G10"/>
    <mergeCell ref="F11:G11"/>
    <mergeCell ref="B16:C16"/>
    <mergeCell ref="B17:C17"/>
    <mergeCell ref="B18:C18"/>
    <mergeCell ref="B3:D3"/>
    <mergeCell ref="B21:D21"/>
    <mergeCell ref="B11:C11"/>
    <mergeCell ref="B12:C12"/>
    <mergeCell ref="B13:C13"/>
    <mergeCell ref="B14:C14"/>
    <mergeCell ref="B15:C15"/>
    <mergeCell ref="B24:D24"/>
    <mergeCell ref="B25:C25"/>
    <mergeCell ref="B26:C26"/>
    <mergeCell ref="B27:C27"/>
    <mergeCell ref="B28:C28"/>
    <mergeCell ref="B29:C29"/>
    <mergeCell ref="B30:C30"/>
    <mergeCell ref="B31:C31"/>
    <mergeCell ref="B32:C32"/>
    <mergeCell ref="B33:C33"/>
    <mergeCell ref="B34:C34"/>
    <mergeCell ref="B35:C35"/>
    <mergeCell ref="B36:C36"/>
    <mergeCell ref="F26:G26"/>
    <mergeCell ref="A4:A5"/>
    <mergeCell ref="B6:D6"/>
    <mergeCell ref="E4:E5"/>
    <mergeCell ref="F6:H6"/>
    <mergeCell ref="A22:A23"/>
    <mergeCell ref="B7:C7"/>
    <mergeCell ref="B8:C8"/>
    <mergeCell ref="B9:C9"/>
    <mergeCell ref="B10:C10"/>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44"/>
  <sheetViews>
    <sheetView tabSelected="1" zoomScaleNormal="100" workbookViewId="0">
      <selection activeCell="E13" sqref="E13"/>
    </sheetView>
  </sheetViews>
  <sheetFormatPr defaultColWidth="9.140625" defaultRowHeight="15" x14ac:dyDescent="0.25"/>
  <cols>
    <col min="1" max="1" width="8.5703125" style="29" customWidth="1"/>
    <col min="2" max="2" width="13.140625" style="29" customWidth="1"/>
    <col min="3" max="3" width="13.7109375" style="29" customWidth="1"/>
    <col min="4" max="4" width="14" style="29" customWidth="1"/>
    <col min="5" max="5" width="11.140625" style="29" bestFit="1" customWidth="1"/>
    <col min="6" max="6" width="10.140625" style="29" bestFit="1" customWidth="1"/>
    <col min="7" max="7" width="11.85546875" style="29" customWidth="1"/>
    <col min="8" max="8" width="4.28515625" style="29" customWidth="1"/>
    <col min="9" max="9" width="15.7109375" style="29" customWidth="1"/>
    <col min="10" max="10" width="13.7109375" style="29" customWidth="1"/>
    <col min="11" max="14" width="9.28515625" style="29" bestFit="1" customWidth="1"/>
    <col min="15" max="15" width="14.28515625" style="29" customWidth="1"/>
    <col min="16" max="20" width="14" style="29" bestFit="1" customWidth="1"/>
    <col min="21" max="21" width="16.7109375" style="29" customWidth="1"/>
    <col min="22" max="16384" width="9.140625" style="29"/>
  </cols>
  <sheetData>
    <row r="1" spans="1:20" ht="17.25" x14ac:dyDescent="0.25">
      <c r="A1" s="28" t="s">
        <v>54</v>
      </c>
      <c r="B1" s="28"/>
      <c r="C1" s="28"/>
      <c r="D1" s="29" t="s">
        <v>55</v>
      </c>
      <c r="E1" s="30">
        <v>671000000</v>
      </c>
      <c r="F1" s="29" t="s">
        <v>56</v>
      </c>
    </row>
    <row r="2" spans="1:20" x14ac:dyDescent="0.25">
      <c r="A2" s="28" t="s">
        <v>57</v>
      </c>
      <c r="B2" s="28"/>
      <c r="C2" s="28"/>
      <c r="D2" s="29">
        <v>200</v>
      </c>
    </row>
    <row r="3" spans="1:20" ht="15" customHeight="1" x14ac:dyDescent="0.25">
      <c r="A3" s="28" t="s">
        <v>58</v>
      </c>
      <c r="B3" s="28"/>
      <c r="C3" s="28"/>
      <c r="D3" s="28" t="s">
        <v>59</v>
      </c>
      <c r="E3" s="28"/>
      <c r="F3" s="28"/>
      <c r="G3" s="28"/>
      <c r="H3" s="28"/>
      <c r="I3" s="28"/>
      <c r="J3" s="28"/>
      <c r="K3" s="28"/>
      <c r="L3" s="28"/>
      <c r="M3" s="28"/>
      <c r="N3" s="28"/>
      <c r="O3" s="28"/>
      <c r="P3" s="34"/>
      <c r="Q3" s="34"/>
      <c r="R3" s="34"/>
      <c r="S3" s="34"/>
      <c r="T3" s="34"/>
    </row>
    <row r="5" spans="1:20" ht="30" customHeight="1" x14ac:dyDescent="0.25">
      <c r="L5" s="28" t="s">
        <v>60</v>
      </c>
      <c r="M5" s="28"/>
      <c r="N5" s="28"/>
      <c r="O5" s="28" t="s">
        <v>61</v>
      </c>
      <c r="P5" s="28"/>
      <c r="Q5" s="28"/>
      <c r="R5" s="28" t="s">
        <v>62</v>
      </c>
      <c r="S5" s="28"/>
      <c r="T5" s="28"/>
    </row>
    <row r="6" spans="1:20" ht="29.25" customHeight="1" x14ac:dyDescent="0.25">
      <c r="A6" s="29" t="s">
        <v>63</v>
      </c>
      <c r="B6" s="29" t="s">
        <v>64</v>
      </c>
      <c r="C6" s="29" t="s">
        <v>65</v>
      </c>
      <c r="D6" s="29" t="s">
        <v>66</v>
      </c>
      <c r="E6" s="29" t="s">
        <v>67</v>
      </c>
      <c r="F6" s="29" t="s">
        <v>68</v>
      </c>
      <c r="G6" s="29" t="s">
        <v>69</v>
      </c>
      <c r="I6" s="29" t="s">
        <v>70</v>
      </c>
      <c r="J6" s="29" t="s">
        <v>71</v>
      </c>
      <c r="K6" s="29" t="s">
        <v>72</v>
      </c>
      <c r="L6" s="29" t="s">
        <v>73</v>
      </c>
      <c r="M6" s="29" t="s">
        <v>74</v>
      </c>
      <c r="N6" s="29" t="s">
        <v>75</v>
      </c>
      <c r="O6" s="29" t="s">
        <v>73</v>
      </c>
      <c r="P6" s="29" t="s">
        <v>74</v>
      </c>
      <c r="Q6" s="29" t="s">
        <v>75</v>
      </c>
      <c r="R6" s="29" t="s">
        <v>73</v>
      </c>
      <c r="S6" s="29" t="s">
        <v>74</v>
      </c>
      <c r="T6" s="29" t="s">
        <v>75</v>
      </c>
    </row>
    <row r="7" spans="1:20" x14ac:dyDescent="0.25">
      <c r="B7" s="29">
        <f>+Sayfa2!D5</f>
        <v>70</v>
      </c>
      <c r="C7" s="29">
        <f>+Sayfa2!B5</f>
        <v>150</v>
      </c>
      <c r="E7" s="29">
        <f>+Sayfa2!C5</f>
        <v>6</v>
      </c>
      <c r="F7" s="29">
        <f>C7*E7</f>
        <v>900</v>
      </c>
      <c r="G7" s="28">
        <f>SUM(F7:F13)</f>
        <v>2100</v>
      </c>
      <c r="J7" s="31">
        <f>+Sayfa2!A3</f>
        <v>44369</v>
      </c>
      <c r="K7" s="28">
        <f>G7</f>
        <v>2100</v>
      </c>
      <c r="L7" s="51">
        <f>+Sayfa2!B18</f>
        <v>13.494999999999999</v>
      </c>
      <c r="M7" s="51">
        <f>+Sayfa2!F18</f>
        <v>14.510000000000003</v>
      </c>
      <c r="N7" s="51">
        <f>+Sayfa2!J18</f>
        <v>11.410000000000002</v>
      </c>
      <c r="O7" s="52">
        <f>L7/$K$7</f>
        <v>6.426190476190476E-3</v>
      </c>
      <c r="P7" s="52">
        <f>M7/$K$7</f>
        <v>6.9095238095238107E-3</v>
      </c>
      <c r="Q7" s="52">
        <f>N7/$K$7</f>
        <v>5.4333333333333343E-3</v>
      </c>
      <c r="R7" s="52">
        <f>O7*$C$17</f>
        <v>1349500</v>
      </c>
      <c r="S7" s="52">
        <f>P7*$C$18</f>
        <v>1589190.4761904764</v>
      </c>
      <c r="T7" s="52">
        <f>Q7*$C$19</f>
        <v>1255100.0000000002</v>
      </c>
    </row>
    <row r="8" spans="1:20" x14ac:dyDescent="0.25">
      <c r="B8" s="29">
        <f>+Sayfa2!H5</f>
        <v>60</v>
      </c>
      <c r="C8" s="29">
        <f>+Sayfa2!F5</f>
        <v>100</v>
      </c>
      <c r="E8" s="29">
        <f>+Sayfa2!G5</f>
        <v>6</v>
      </c>
      <c r="F8" s="29">
        <f t="shared" ref="F8:F13" si="0">C8*E8</f>
        <v>600</v>
      </c>
      <c r="G8" s="28"/>
      <c r="J8" s="31">
        <f>+Sayfa2!A21</f>
        <v>44370</v>
      </c>
      <c r="K8" s="28"/>
      <c r="L8" s="51">
        <f>+Sayfa2!B36</f>
        <v>12.47</v>
      </c>
      <c r="M8" s="51">
        <f>+Sayfa2!F36</f>
        <v>13.17</v>
      </c>
      <c r="N8" s="51">
        <f>+Sayfa2!J36</f>
        <v>7.2100000000000009</v>
      </c>
      <c r="O8" s="52">
        <f t="shared" ref="O8:Q17" si="1">L8/$K$7</f>
        <v>5.938095238095238E-3</v>
      </c>
      <c r="P8" s="52">
        <f t="shared" si="1"/>
        <v>6.271428571428571E-3</v>
      </c>
      <c r="Q8" s="52">
        <f t="shared" si="1"/>
        <v>3.4333333333333338E-3</v>
      </c>
      <c r="R8" s="52">
        <f t="shared" ref="R8:R17" si="2">O8*$C$17</f>
        <v>1247000</v>
      </c>
      <c r="S8" s="52">
        <f t="shared" ref="S8:S17" si="3">P8*$C$18</f>
        <v>1442428.5714285714</v>
      </c>
      <c r="T8" s="52">
        <f t="shared" ref="T8:T16" si="4">Q8*$C$19</f>
        <v>793100.00000000012</v>
      </c>
    </row>
    <row r="9" spans="1:20" x14ac:dyDescent="0.25">
      <c r="B9" s="29">
        <f>+Sayfa2!L5</f>
        <v>60</v>
      </c>
      <c r="C9" s="29">
        <f>+Sayfa2!J5</f>
        <v>100</v>
      </c>
      <c r="E9" s="29">
        <f>+Sayfa2!K5</f>
        <v>6</v>
      </c>
      <c r="F9" s="29">
        <f t="shared" si="0"/>
        <v>600</v>
      </c>
      <c r="G9" s="28"/>
      <c r="J9" s="31">
        <f>+Sayfa2!A39</f>
        <v>44371</v>
      </c>
      <c r="K9" s="28"/>
      <c r="L9" s="51">
        <f>+Sayfa2!B54</f>
        <v>10.02</v>
      </c>
      <c r="M9" s="51">
        <f>+Sayfa2!F54</f>
        <v>9.0399999999999991</v>
      </c>
      <c r="N9" s="51">
        <f>+Sayfa2!J54</f>
        <v>10.76</v>
      </c>
      <c r="O9" s="52">
        <f t="shared" si="1"/>
        <v>4.7714285714285714E-3</v>
      </c>
      <c r="P9" s="52">
        <f t="shared" si="1"/>
        <v>4.3047619047619041E-3</v>
      </c>
      <c r="Q9" s="52">
        <f t="shared" si="1"/>
        <v>5.1238095238095235E-3</v>
      </c>
      <c r="R9" s="52">
        <f t="shared" si="2"/>
        <v>1002000</v>
      </c>
      <c r="S9" s="52">
        <f t="shared" si="3"/>
        <v>990095.23809523799</v>
      </c>
      <c r="T9" s="52">
        <f t="shared" si="4"/>
        <v>1183600</v>
      </c>
    </row>
    <row r="10" spans="1:20" x14ac:dyDescent="0.25">
      <c r="E10" s="29">
        <f t="shared" ref="E8:E13" si="5">B10*D10*0.866/1000</f>
        <v>0</v>
      </c>
      <c r="F10" s="29">
        <f t="shared" si="0"/>
        <v>0</v>
      </c>
      <c r="G10" s="28"/>
      <c r="J10" s="31"/>
      <c r="K10" s="28"/>
      <c r="O10" s="29">
        <f t="shared" si="1"/>
        <v>0</v>
      </c>
      <c r="P10" s="29">
        <f t="shared" si="1"/>
        <v>0</v>
      </c>
      <c r="Q10" s="29">
        <f t="shared" si="1"/>
        <v>0</v>
      </c>
      <c r="R10" s="29">
        <f t="shared" si="2"/>
        <v>0</v>
      </c>
      <c r="S10" s="29">
        <f t="shared" si="3"/>
        <v>0</v>
      </c>
      <c r="T10" s="29">
        <f t="shared" si="4"/>
        <v>0</v>
      </c>
    </row>
    <row r="11" spans="1:20" x14ac:dyDescent="0.25">
      <c r="E11" s="29">
        <f t="shared" si="5"/>
        <v>0</v>
      </c>
      <c r="F11" s="29">
        <f t="shared" si="0"/>
        <v>0</v>
      </c>
      <c r="G11" s="28"/>
      <c r="J11" s="31"/>
      <c r="K11" s="28"/>
      <c r="O11" s="29">
        <f t="shared" si="1"/>
        <v>0</v>
      </c>
      <c r="P11" s="29">
        <f t="shared" si="1"/>
        <v>0</v>
      </c>
      <c r="Q11" s="29">
        <f t="shared" si="1"/>
        <v>0</v>
      </c>
      <c r="R11" s="29">
        <f t="shared" si="2"/>
        <v>0</v>
      </c>
      <c r="S11" s="29">
        <f t="shared" si="3"/>
        <v>0</v>
      </c>
      <c r="T11" s="29">
        <f t="shared" si="4"/>
        <v>0</v>
      </c>
    </row>
    <row r="12" spans="1:20" x14ac:dyDescent="0.25">
      <c r="E12" s="29">
        <f t="shared" si="5"/>
        <v>0</v>
      </c>
      <c r="F12" s="29">
        <f t="shared" si="0"/>
        <v>0</v>
      </c>
      <c r="G12" s="28"/>
      <c r="J12" s="31"/>
      <c r="K12" s="28"/>
      <c r="O12" s="29">
        <f t="shared" si="1"/>
        <v>0</v>
      </c>
      <c r="P12" s="29">
        <f t="shared" si="1"/>
        <v>0</v>
      </c>
      <c r="Q12" s="29">
        <f t="shared" si="1"/>
        <v>0</v>
      </c>
      <c r="R12" s="29">
        <f t="shared" si="2"/>
        <v>0</v>
      </c>
      <c r="S12" s="29">
        <f t="shared" si="3"/>
        <v>0</v>
      </c>
      <c r="T12" s="29">
        <f t="shared" si="4"/>
        <v>0</v>
      </c>
    </row>
    <row r="13" spans="1:20" x14ac:dyDescent="0.25">
      <c r="E13" s="29">
        <f t="shared" si="5"/>
        <v>0</v>
      </c>
      <c r="F13" s="29">
        <f t="shared" si="0"/>
        <v>0</v>
      </c>
      <c r="G13" s="28"/>
      <c r="J13" s="32"/>
      <c r="K13" s="28"/>
      <c r="O13" s="29">
        <f t="shared" si="1"/>
        <v>0</v>
      </c>
      <c r="P13" s="29">
        <f t="shared" si="1"/>
        <v>0</v>
      </c>
      <c r="Q13" s="29">
        <f t="shared" si="1"/>
        <v>0</v>
      </c>
      <c r="R13" s="29">
        <f t="shared" si="2"/>
        <v>0</v>
      </c>
      <c r="S13" s="29">
        <f t="shared" si="3"/>
        <v>0</v>
      </c>
      <c r="T13" s="29">
        <f t="shared" si="4"/>
        <v>0</v>
      </c>
    </row>
    <row r="14" spans="1:20" x14ac:dyDescent="0.25">
      <c r="J14" s="32"/>
      <c r="K14" s="28"/>
      <c r="O14" s="29">
        <f t="shared" si="1"/>
        <v>0</v>
      </c>
      <c r="P14" s="29">
        <f t="shared" si="1"/>
        <v>0</v>
      </c>
      <c r="Q14" s="29">
        <f t="shared" si="1"/>
        <v>0</v>
      </c>
      <c r="R14" s="29">
        <f t="shared" si="2"/>
        <v>0</v>
      </c>
      <c r="S14" s="29">
        <f t="shared" si="3"/>
        <v>0</v>
      </c>
      <c r="T14" s="29">
        <f t="shared" si="4"/>
        <v>0</v>
      </c>
    </row>
    <row r="15" spans="1:20" x14ac:dyDescent="0.25">
      <c r="J15" s="32"/>
      <c r="K15" s="28"/>
      <c r="O15" s="29">
        <f t="shared" si="1"/>
        <v>0</v>
      </c>
      <c r="P15" s="29">
        <f t="shared" si="1"/>
        <v>0</v>
      </c>
      <c r="Q15" s="29">
        <f t="shared" si="1"/>
        <v>0</v>
      </c>
      <c r="R15" s="29">
        <f t="shared" si="2"/>
        <v>0</v>
      </c>
      <c r="S15" s="29">
        <f t="shared" si="3"/>
        <v>0</v>
      </c>
      <c r="T15" s="29">
        <f t="shared" si="4"/>
        <v>0</v>
      </c>
    </row>
    <row r="16" spans="1:20" x14ac:dyDescent="0.25">
      <c r="B16" s="28" t="s">
        <v>76</v>
      </c>
      <c r="C16" s="28"/>
      <c r="D16" s="28"/>
      <c r="J16" s="32"/>
      <c r="K16" s="28"/>
      <c r="O16" s="29">
        <f t="shared" si="1"/>
        <v>0</v>
      </c>
      <c r="P16" s="29">
        <f t="shared" si="1"/>
        <v>0</v>
      </c>
      <c r="Q16" s="29">
        <f t="shared" si="1"/>
        <v>0</v>
      </c>
      <c r="R16" s="29">
        <f t="shared" si="2"/>
        <v>0</v>
      </c>
      <c r="S16" s="29">
        <f t="shared" si="3"/>
        <v>0</v>
      </c>
      <c r="T16" s="29">
        <f t="shared" si="4"/>
        <v>0</v>
      </c>
    </row>
    <row r="17" spans="1:21" ht="19.5" customHeight="1" x14ac:dyDescent="0.25">
      <c r="A17" s="29" t="s">
        <v>77</v>
      </c>
      <c r="B17" s="29" t="s">
        <v>78</v>
      </c>
      <c r="C17" s="33">
        <f>210*1000000</f>
        <v>210000000</v>
      </c>
      <c r="D17" s="29" t="s">
        <v>56</v>
      </c>
      <c r="I17" s="29" t="s">
        <v>79</v>
      </c>
      <c r="L17" s="51">
        <f>AVERAGE(L7:L16)</f>
        <v>11.994999999999999</v>
      </c>
      <c r="M17" s="51">
        <f t="shared" ref="M17:N17" si="6">AVERAGE(M7:M16)</f>
        <v>12.24</v>
      </c>
      <c r="N17" s="51">
        <f t="shared" si="6"/>
        <v>9.7933333333333348</v>
      </c>
      <c r="O17" s="52">
        <f t="shared" si="1"/>
        <v>5.7119047619047618E-3</v>
      </c>
      <c r="P17" s="52">
        <f t="shared" si="1"/>
        <v>5.8285714285714286E-3</v>
      </c>
      <c r="Q17" s="52">
        <f t="shared" si="1"/>
        <v>4.663492063492064E-3</v>
      </c>
      <c r="R17" s="52">
        <f t="shared" si="2"/>
        <v>1199500</v>
      </c>
      <c r="S17" s="52">
        <f t="shared" si="3"/>
        <v>1340571.4285714286</v>
      </c>
      <c r="T17" s="52">
        <f>Q17*$C$19</f>
        <v>1077266.6666666667</v>
      </c>
    </row>
    <row r="18" spans="1:21" ht="16.5" customHeight="1" x14ac:dyDescent="0.25">
      <c r="A18" s="29" t="s">
        <v>80</v>
      </c>
      <c r="B18" s="29" t="s">
        <v>81</v>
      </c>
      <c r="C18" s="33">
        <v>230000000</v>
      </c>
      <c r="D18" s="29" t="s">
        <v>56</v>
      </c>
      <c r="I18" s="28" t="s">
        <v>82</v>
      </c>
      <c r="J18" s="28"/>
      <c r="R18" s="28">
        <f>SUM(R17:T17)/1000</f>
        <v>3617.3380952380953</v>
      </c>
      <c r="S18" s="28"/>
      <c r="T18" s="28"/>
    </row>
    <row r="19" spans="1:21" ht="17.25" x14ac:dyDescent="0.25">
      <c r="A19" s="29" t="s">
        <v>83</v>
      </c>
      <c r="B19" s="29" t="s">
        <v>84</v>
      </c>
      <c r="C19" s="33">
        <v>231000000</v>
      </c>
      <c r="D19" s="29" t="s">
        <v>56</v>
      </c>
    </row>
    <row r="21" spans="1:21" ht="19.5" customHeight="1" x14ac:dyDescent="0.25">
      <c r="I21" s="28" t="s">
        <v>85</v>
      </c>
      <c r="J21" s="28"/>
      <c r="K21" s="28"/>
      <c r="L21" s="28"/>
      <c r="M21" s="28"/>
      <c r="N21" s="28"/>
      <c r="O21" s="28"/>
      <c r="T21" s="28" t="s">
        <v>60</v>
      </c>
      <c r="U21" s="28" t="s">
        <v>86</v>
      </c>
    </row>
    <row r="22" spans="1:21" ht="16.5" customHeight="1" x14ac:dyDescent="0.25">
      <c r="A22" s="28">
        <v>0.86599999999999999</v>
      </c>
      <c r="B22" s="28" t="s">
        <v>87</v>
      </c>
      <c r="C22" s="28"/>
      <c r="D22" s="28"/>
      <c r="E22" s="28"/>
      <c r="F22" s="34"/>
      <c r="I22" s="28" t="s">
        <v>88</v>
      </c>
      <c r="J22" s="28"/>
      <c r="K22" s="28"/>
      <c r="L22" s="28" t="s">
        <v>89</v>
      </c>
      <c r="M22" s="28"/>
      <c r="N22" s="28"/>
      <c r="O22" s="28"/>
      <c r="P22" s="29">
        <f>R18*0.5</f>
        <v>1808.6690476190477</v>
      </c>
      <c r="T22" s="28"/>
      <c r="U22" s="28"/>
    </row>
    <row r="23" spans="1:21" ht="15" customHeight="1" x14ac:dyDescent="0.25">
      <c r="A23" s="28"/>
      <c r="B23" s="28"/>
      <c r="C23" s="28"/>
      <c r="D23" s="28"/>
      <c r="E23" s="28"/>
      <c r="I23" s="28" t="s">
        <v>90</v>
      </c>
      <c r="J23" s="28"/>
      <c r="K23" s="28"/>
      <c r="L23" s="28" t="s">
        <v>89</v>
      </c>
      <c r="M23" s="28"/>
      <c r="N23" s="28"/>
      <c r="O23" s="28"/>
      <c r="P23" s="29">
        <f>R18*0.3</f>
        <v>1085.2014285714286</v>
      </c>
      <c r="S23" s="35" t="s">
        <v>91</v>
      </c>
      <c r="T23" s="29">
        <v>30</v>
      </c>
      <c r="U23" s="29">
        <f>T23*100/T$30</f>
        <v>16</v>
      </c>
    </row>
    <row r="24" spans="1:21" ht="15" customHeight="1" x14ac:dyDescent="0.25">
      <c r="I24" s="28" t="s">
        <v>92</v>
      </c>
      <c r="J24" s="28"/>
      <c r="K24" s="28"/>
      <c r="L24" s="28" t="s">
        <v>89</v>
      </c>
      <c r="M24" s="28"/>
      <c r="N24" s="28"/>
      <c r="O24" s="28"/>
      <c r="P24" s="29">
        <f>R18*0.4</f>
        <v>1446.9352380952382</v>
      </c>
      <c r="S24" s="35" t="s">
        <v>93</v>
      </c>
      <c r="T24" s="29">
        <v>35</v>
      </c>
      <c r="U24" s="29">
        <f t="shared" ref="U24:U29" si="7">T24*100/T$30</f>
        <v>18.666666666666668</v>
      </c>
    </row>
    <row r="25" spans="1:21" x14ac:dyDescent="0.25">
      <c r="C25" s="30"/>
      <c r="S25" s="35" t="s">
        <v>94</v>
      </c>
      <c r="T25" s="29">
        <v>22</v>
      </c>
      <c r="U25" s="29">
        <f t="shared" si="7"/>
        <v>11.733333333333333</v>
      </c>
    </row>
    <row r="26" spans="1:21" x14ac:dyDescent="0.25">
      <c r="C26" s="30"/>
      <c r="S26" s="35" t="s">
        <v>95</v>
      </c>
      <c r="T26" s="29">
        <v>23.5</v>
      </c>
      <c r="U26" s="29">
        <f t="shared" si="7"/>
        <v>12.533333333333333</v>
      </c>
    </row>
    <row r="27" spans="1:21" ht="15" customHeight="1" x14ac:dyDescent="0.25">
      <c r="C27" s="28" t="s">
        <v>96</v>
      </c>
      <c r="D27" s="28"/>
      <c r="E27" s="28"/>
      <c r="F27" s="28"/>
      <c r="G27" s="28"/>
      <c r="H27" s="28"/>
      <c r="I27" s="28"/>
      <c r="J27" s="28"/>
      <c r="K27" s="28"/>
      <c r="L27" s="28"/>
      <c r="M27" s="28"/>
      <c r="S27" s="35" t="s">
        <v>97</v>
      </c>
      <c r="T27" s="29">
        <v>24</v>
      </c>
      <c r="U27" s="29">
        <f t="shared" si="7"/>
        <v>12.8</v>
      </c>
    </row>
    <row r="28" spans="1:21" x14ac:dyDescent="0.25">
      <c r="C28" s="28"/>
      <c r="D28" s="28"/>
      <c r="E28" s="28"/>
      <c r="F28" s="28"/>
      <c r="G28" s="28"/>
      <c r="H28" s="28"/>
      <c r="I28" s="28"/>
      <c r="J28" s="28"/>
      <c r="K28" s="28"/>
      <c r="L28" s="28"/>
      <c r="M28" s="28"/>
      <c r="S28" s="35" t="s">
        <v>98</v>
      </c>
      <c r="T28" s="29">
        <v>18</v>
      </c>
      <c r="U28" s="29">
        <f t="shared" si="7"/>
        <v>9.6</v>
      </c>
    </row>
    <row r="29" spans="1:21" x14ac:dyDescent="0.25">
      <c r="C29" s="28"/>
      <c r="D29" s="28"/>
      <c r="E29" s="28"/>
      <c r="F29" s="28"/>
      <c r="G29" s="28"/>
      <c r="H29" s="28"/>
      <c r="I29" s="28"/>
      <c r="J29" s="28"/>
      <c r="K29" s="28"/>
      <c r="L29" s="28"/>
      <c r="M29" s="28"/>
      <c r="S29" s="35" t="s">
        <v>99</v>
      </c>
      <c r="T29" s="29">
        <v>35</v>
      </c>
      <c r="U29" s="29">
        <f t="shared" si="7"/>
        <v>18.666666666666668</v>
      </c>
    </row>
    <row r="30" spans="1:21" x14ac:dyDescent="0.25">
      <c r="C30" s="28"/>
      <c r="D30" s="28"/>
      <c r="E30" s="28"/>
      <c r="F30" s="28"/>
      <c r="G30" s="28"/>
      <c r="H30" s="28"/>
      <c r="I30" s="28"/>
      <c r="J30" s="28"/>
      <c r="K30" s="28"/>
      <c r="L30" s="28"/>
      <c r="M30" s="28"/>
      <c r="S30" s="29" t="s">
        <v>53</v>
      </c>
      <c r="T30" s="29">
        <f>SUM(T23:T29)</f>
        <v>187.5</v>
      </c>
      <c r="U30" s="29">
        <f>SUM(U23:U29)</f>
        <v>100</v>
      </c>
    </row>
    <row r="31" spans="1:21" x14ac:dyDescent="0.25">
      <c r="F31" s="28" t="s">
        <v>100</v>
      </c>
      <c r="G31" s="28"/>
      <c r="H31" s="28"/>
      <c r="I31" s="28"/>
      <c r="J31" s="28"/>
    </row>
    <row r="32" spans="1:21" x14ac:dyDescent="0.25">
      <c r="B32" s="28" t="s">
        <v>101</v>
      </c>
      <c r="C32" s="28"/>
      <c r="D32" s="28"/>
      <c r="E32" s="28"/>
      <c r="F32" s="28"/>
      <c r="G32" s="28"/>
      <c r="H32" s="28"/>
      <c r="I32" s="28"/>
      <c r="J32" s="28"/>
      <c r="K32" s="28"/>
      <c r="L32" s="28"/>
      <c r="M32" s="28"/>
      <c r="N32" s="28"/>
      <c r="O32" s="28"/>
      <c r="P32" s="28"/>
      <c r="Q32" s="28"/>
    </row>
    <row r="33" spans="2:17" x14ac:dyDescent="0.25">
      <c r="B33" s="28"/>
      <c r="C33" s="28"/>
      <c r="D33" s="28"/>
      <c r="E33" s="28"/>
      <c r="F33" s="28"/>
      <c r="G33" s="28"/>
      <c r="H33" s="28"/>
      <c r="I33" s="28"/>
      <c r="J33" s="28"/>
      <c r="K33" s="28"/>
      <c r="L33" s="28"/>
      <c r="M33" s="28"/>
      <c r="N33" s="28"/>
      <c r="O33" s="28"/>
      <c r="P33" s="28"/>
      <c r="Q33" s="28"/>
    </row>
    <row r="34" spans="2:17" x14ac:dyDescent="0.25">
      <c r="B34" s="28"/>
      <c r="C34" s="28"/>
      <c r="D34" s="28"/>
      <c r="E34" s="28"/>
      <c r="F34" s="28"/>
      <c r="G34" s="28"/>
      <c r="H34" s="28"/>
      <c r="I34" s="28"/>
      <c r="J34" s="28"/>
      <c r="K34" s="28"/>
      <c r="L34" s="28"/>
      <c r="M34" s="28"/>
      <c r="N34" s="28"/>
      <c r="O34" s="28"/>
      <c r="P34" s="28"/>
      <c r="Q34" s="28"/>
    </row>
    <row r="35" spans="2:17" x14ac:dyDescent="0.25">
      <c r="B35" s="28"/>
      <c r="C35" s="28"/>
      <c r="D35" s="28"/>
      <c r="E35" s="28"/>
      <c r="F35" s="28"/>
      <c r="G35" s="28"/>
      <c r="H35" s="28"/>
      <c r="I35" s="28"/>
      <c r="J35" s="28"/>
      <c r="K35" s="28"/>
      <c r="L35" s="28"/>
      <c r="M35" s="28"/>
      <c r="N35" s="28"/>
      <c r="O35" s="28"/>
      <c r="P35" s="28"/>
      <c r="Q35" s="28"/>
    </row>
    <row r="36" spans="2:17" x14ac:dyDescent="0.25">
      <c r="B36" s="28"/>
      <c r="C36" s="28"/>
      <c r="D36" s="28"/>
      <c r="E36" s="28"/>
      <c r="F36" s="28"/>
      <c r="G36" s="28"/>
      <c r="H36" s="28"/>
      <c r="I36" s="28"/>
      <c r="J36" s="28"/>
      <c r="K36" s="28"/>
      <c r="L36" s="28"/>
      <c r="M36" s="28"/>
      <c r="N36" s="28"/>
      <c r="O36" s="28"/>
      <c r="P36" s="28"/>
      <c r="Q36" s="28"/>
    </row>
    <row r="37" spans="2:17" ht="14.25" customHeight="1" x14ac:dyDescent="0.25">
      <c r="B37" s="28"/>
      <c r="C37" s="28"/>
      <c r="D37" s="28"/>
      <c r="E37" s="28"/>
      <c r="F37" s="28"/>
      <c r="G37" s="28"/>
      <c r="H37" s="28"/>
      <c r="I37" s="28"/>
      <c r="J37" s="28"/>
      <c r="K37" s="28"/>
      <c r="L37" s="28"/>
      <c r="M37" s="28"/>
      <c r="N37" s="28"/>
      <c r="O37" s="28"/>
      <c r="P37" s="28"/>
      <c r="Q37" s="28"/>
    </row>
    <row r="38" spans="2:17" ht="11.25" hidden="1" customHeight="1" x14ac:dyDescent="0.25">
      <c r="B38" s="28"/>
      <c r="C38" s="28"/>
      <c r="D38" s="28"/>
      <c r="E38" s="28"/>
      <c r="F38" s="28"/>
      <c r="G38" s="28"/>
      <c r="H38" s="28"/>
      <c r="I38" s="28"/>
      <c r="J38" s="28"/>
      <c r="K38" s="28"/>
      <c r="L38" s="28"/>
      <c r="M38" s="28"/>
      <c r="N38" s="28"/>
      <c r="O38" s="28"/>
      <c r="P38" s="28"/>
      <c r="Q38" s="28"/>
    </row>
    <row r="39" spans="2:17" hidden="1" x14ac:dyDescent="0.25">
      <c r="B39" s="28"/>
      <c r="C39" s="28"/>
      <c r="D39" s="28"/>
      <c r="E39" s="28"/>
      <c r="F39" s="28"/>
      <c r="G39" s="28"/>
      <c r="H39" s="28"/>
      <c r="I39" s="28"/>
      <c r="J39" s="28"/>
      <c r="K39" s="28"/>
      <c r="L39" s="28"/>
      <c r="M39" s="28"/>
      <c r="N39" s="28"/>
      <c r="O39" s="28"/>
      <c r="P39" s="28"/>
      <c r="Q39" s="28"/>
    </row>
    <row r="40" spans="2:17" hidden="1" x14ac:dyDescent="0.25">
      <c r="B40" s="28"/>
      <c r="C40" s="28"/>
      <c r="D40" s="28"/>
      <c r="E40" s="28"/>
      <c r="F40" s="28"/>
      <c r="G40" s="28"/>
      <c r="H40" s="28"/>
      <c r="I40" s="28"/>
      <c r="J40" s="28"/>
      <c r="K40" s="28"/>
      <c r="L40" s="28"/>
      <c r="M40" s="28"/>
      <c r="N40" s="28"/>
      <c r="O40" s="28"/>
      <c r="P40" s="28"/>
      <c r="Q40" s="28"/>
    </row>
    <row r="41" spans="2:17" x14ac:dyDescent="0.25">
      <c r="B41" s="34"/>
      <c r="C41" s="34"/>
      <c r="D41" s="34"/>
      <c r="E41" s="34"/>
      <c r="F41" s="34"/>
      <c r="G41" s="34"/>
      <c r="H41" s="34"/>
      <c r="I41" s="34"/>
      <c r="J41" s="34"/>
      <c r="K41" s="34"/>
      <c r="L41" s="34"/>
      <c r="M41" s="34"/>
      <c r="N41" s="34"/>
      <c r="O41" s="34"/>
      <c r="P41" s="34"/>
    </row>
    <row r="42" spans="2:17" x14ac:dyDescent="0.25">
      <c r="B42" s="36" t="s">
        <v>102</v>
      </c>
      <c r="C42" s="36"/>
      <c r="D42" s="36"/>
      <c r="E42" s="36"/>
      <c r="F42" s="36"/>
      <c r="G42" s="36"/>
      <c r="H42" s="36"/>
      <c r="I42" s="36"/>
      <c r="J42" s="36"/>
      <c r="K42" s="36"/>
      <c r="L42" s="36"/>
      <c r="M42" s="36"/>
      <c r="N42" s="36"/>
      <c r="O42" s="36"/>
      <c r="P42" s="36"/>
      <c r="Q42" s="36"/>
    </row>
    <row r="43" spans="2:17" ht="47.25" customHeight="1" x14ac:dyDescent="0.25">
      <c r="B43" s="37" t="s">
        <v>103</v>
      </c>
      <c r="C43" s="37"/>
      <c r="D43" s="37"/>
      <c r="E43" s="37"/>
      <c r="F43" s="37"/>
      <c r="G43" s="37"/>
      <c r="H43" s="37"/>
      <c r="I43" s="37"/>
      <c r="J43" s="37"/>
      <c r="K43" s="37"/>
      <c r="L43" s="37"/>
      <c r="M43" s="37"/>
      <c r="N43" s="37"/>
      <c r="O43" s="37"/>
      <c r="P43" s="37"/>
      <c r="Q43" s="37"/>
    </row>
    <row r="44" spans="2:17" x14ac:dyDescent="0.25">
      <c r="B44" s="28" t="s">
        <v>104</v>
      </c>
      <c r="C44" s="28"/>
      <c r="D44" s="28"/>
      <c r="E44" s="28"/>
      <c r="F44" s="28"/>
      <c r="G44" s="28"/>
      <c r="H44" s="28"/>
      <c r="I44" s="28"/>
    </row>
  </sheetData>
  <mergeCells count="29">
    <mergeCell ref="B43:Q43"/>
    <mergeCell ref="B44:I44"/>
    <mergeCell ref="D3:O3"/>
    <mergeCell ref="I24:K24"/>
    <mergeCell ref="L24:O24"/>
    <mergeCell ref="C27:M30"/>
    <mergeCell ref="F31:J31"/>
    <mergeCell ref="B32:Q40"/>
    <mergeCell ref="B42:Q42"/>
    <mergeCell ref="I21:O21"/>
    <mergeCell ref="T21:T22"/>
    <mergeCell ref="U21:U22"/>
    <mergeCell ref="A22:A23"/>
    <mergeCell ref="B22:E23"/>
    <mergeCell ref="I22:K22"/>
    <mergeCell ref="L22:O22"/>
    <mergeCell ref="I23:K23"/>
    <mergeCell ref="L23:O23"/>
    <mergeCell ref="R5:T5"/>
    <mergeCell ref="G7:G13"/>
    <mergeCell ref="K7:K16"/>
    <mergeCell ref="B16:D16"/>
    <mergeCell ref="I18:J18"/>
    <mergeCell ref="R18:T18"/>
    <mergeCell ref="A1:C1"/>
    <mergeCell ref="A2:C2"/>
    <mergeCell ref="A3:C3"/>
    <mergeCell ref="L5:N5"/>
    <mergeCell ref="O5:Q5"/>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9"/>
  <sheetViews>
    <sheetView zoomScale="85" zoomScaleNormal="85" workbookViewId="0">
      <selection activeCell="H6" sqref="H6:I6"/>
    </sheetView>
  </sheetViews>
  <sheetFormatPr defaultRowHeight="15" x14ac:dyDescent="0.25"/>
  <cols>
    <col min="1" max="1" width="17.28515625" style="6" customWidth="1"/>
    <col min="2" max="3" width="16.5703125" style="6" customWidth="1"/>
    <col min="4" max="4" width="17.28515625" style="6" customWidth="1"/>
    <col min="5" max="6" width="16.5703125" style="6" customWidth="1"/>
    <col min="7" max="7" width="17.28515625" style="6" customWidth="1"/>
    <col min="8" max="9" width="16.5703125" style="6" customWidth="1"/>
    <col min="10" max="16384" width="9.140625" style="6"/>
  </cols>
  <sheetData>
    <row r="1" spans="1:9" x14ac:dyDescent="0.25">
      <c r="A1" s="23" t="s">
        <v>42</v>
      </c>
      <c r="B1" s="23"/>
      <c r="C1" s="23"/>
      <c r="D1" s="23"/>
      <c r="E1" s="23"/>
      <c r="F1" s="23"/>
      <c r="G1" s="23"/>
      <c r="H1" s="23"/>
      <c r="I1" s="23"/>
    </row>
    <row r="4" spans="1:9" x14ac:dyDescent="0.25">
      <c r="A4" s="18">
        <v>44369</v>
      </c>
      <c r="B4" s="24" t="s">
        <v>0</v>
      </c>
      <c r="C4" s="24"/>
      <c r="D4" s="24" t="s">
        <v>1</v>
      </c>
      <c r="E4" s="24"/>
      <c r="F4" s="24"/>
      <c r="G4" s="23" t="s">
        <v>2</v>
      </c>
      <c r="H4" s="23"/>
      <c r="I4" s="23"/>
    </row>
    <row r="5" spans="1:9" x14ac:dyDescent="0.25">
      <c r="A5" s="14" t="s">
        <v>5</v>
      </c>
      <c r="B5" s="23" t="s">
        <v>4</v>
      </c>
      <c r="C5" s="23"/>
      <c r="D5" s="14" t="s">
        <v>5</v>
      </c>
      <c r="E5" s="23" t="s">
        <v>52</v>
      </c>
      <c r="F5" s="23"/>
      <c r="G5" s="14" t="s">
        <v>5</v>
      </c>
      <c r="H5" s="23" t="s">
        <v>52</v>
      </c>
      <c r="I5" s="23"/>
    </row>
    <row r="6" spans="1:9" x14ac:dyDescent="0.25">
      <c r="A6" s="14" t="s">
        <v>6</v>
      </c>
      <c r="B6" s="23" t="s">
        <v>7</v>
      </c>
      <c r="C6" s="23"/>
      <c r="D6" s="14" t="s">
        <v>6</v>
      </c>
      <c r="E6" s="23" t="s">
        <v>8</v>
      </c>
      <c r="F6" s="23"/>
      <c r="G6" s="14" t="s">
        <v>6</v>
      </c>
      <c r="H6" s="23" t="s">
        <v>9</v>
      </c>
      <c r="I6" s="23"/>
    </row>
    <row r="7" spans="1:9" x14ac:dyDescent="0.25">
      <c r="A7" s="14" t="s">
        <v>10</v>
      </c>
      <c r="B7" s="10" t="s">
        <v>47</v>
      </c>
      <c r="C7" s="11" t="s">
        <v>48</v>
      </c>
      <c r="D7" s="14" t="s">
        <v>10</v>
      </c>
      <c r="E7" s="10" t="s">
        <v>47</v>
      </c>
      <c r="F7" s="11" t="s">
        <v>48</v>
      </c>
      <c r="G7" s="14" t="s">
        <v>10</v>
      </c>
      <c r="H7" s="10" t="s">
        <v>47</v>
      </c>
      <c r="I7" s="11" t="s">
        <v>48</v>
      </c>
    </row>
    <row r="8" spans="1:9" x14ac:dyDescent="0.25">
      <c r="A8" s="17" t="s">
        <v>49</v>
      </c>
      <c r="B8" s="19">
        <v>1.3</v>
      </c>
      <c r="C8" s="12">
        <v>49</v>
      </c>
      <c r="D8" s="15" t="s">
        <v>49</v>
      </c>
      <c r="E8" s="19">
        <v>1.05</v>
      </c>
      <c r="F8" s="12">
        <v>43</v>
      </c>
      <c r="G8" s="17" t="s">
        <v>49</v>
      </c>
      <c r="H8" s="19">
        <v>1.28</v>
      </c>
      <c r="I8" s="12">
        <v>46</v>
      </c>
    </row>
    <row r="9" spans="1:9" x14ac:dyDescent="0.25">
      <c r="A9" s="17" t="s">
        <v>49</v>
      </c>
      <c r="B9" s="19">
        <v>1.23</v>
      </c>
      <c r="C9" s="12">
        <v>47</v>
      </c>
      <c r="D9" s="15" t="s">
        <v>49</v>
      </c>
      <c r="E9" s="19">
        <v>1.33</v>
      </c>
      <c r="F9" s="12">
        <v>46</v>
      </c>
      <c r="G9" s="17" t="s">
        <v>49</v>
      </c>
      <c r="H9" s="19">
        <v>1.25</v>
      </c>
      <c r="I9" s="12">
        <v>42</v>
      </c>
    </row>
    <row r="10" spans="1:9" x14ac:dyDescent="0.25">
      <c r="A10" s="17" t="s">
        <v>49</v>
      </c>
      <c r="B10" s="19">
        <v>1.34</v>
      </c>
      <c r="C10" s="12">
        <v>47</v>
      </c>
      <c r="D10" s="15" t="s">
        <v>49</v>
      </c>
      <c r="E10" s="19">
        <v>1.56</v>
      </c>
      <c r="F10" s="12">
        <v>49</v>
      </c>
      <c r="G10" s="17" t="s">
        <v>49</v>
      </c>
      <c r="H10" s="19">
        <v>0.89</v>
      </c>
      <c r="I10" s="12">
        <v>40</v>
      </c>
    </row>
    <row r="11" spans="1:9" x14ac:dyDescent="0.25">
      <c r="D11" s="15" t="s">
        <v>49</v>
      </c>
      <c r="E11" s="19">
        <v>1.29</v>
      </c>
      <c r="F11" s="12">
        <v>45</v>
      </c>
      <c r="G11" s="17" t="s">
        <v>50</v>
      </c>
      <c r="H11" s="19">
        <v>1.4</v>
      </c>
      <c r="I11" s="12">
        <v>66</v>
      </c>
    </row>
    <row r="12" spans="1:9" x14ac:dyDescent="0.25">
      <c r="D12" s="15" t="s">
        <v>49</v>
      </c>
      <c r="E12" s="19">
        <v>1.33</v>
      </c>
      <c r="F12" s="12">
        <v>46</v>
      </c>
      <c r="G12" s="17"/>
      <c r="H12" s="19"/>
      <c r="I12" s="12"/>
    </row>
    <row r="13" spans="1:9" x14ac:dyDescent="0.25">
      <c r="D13" s="16" t="s">
        <v>49</v>
      </c>
      <c r="E13" s="20">
        <v>1.54</v>
      </c>
      <c r="F13" s="13">
        <v>49</v>
      </c>
      <c r="G13" s="17"/>
      <c r="H13" s="19"/>
      <c r="I13" s="12"/>
    </row>
    <row r="14" spans="1:9" x14ac:dyDescent="0.25">
      <c r="D14" s="16" t="s">
        <v>49</v>
      </c>
      <c r="E14" s="20">
        <v>1.47</v>
      </c>
      <c r="F14" s="13">
        <v>48</v>
      </c>
      <c r="G14" s="17"/>
      <c r="H14" s="19"/>
      <c r="I14" s="12"/>
    </row>
    <row r="15" spans="1:9" x14ac:dyDescent="0.25">
      <c r="A15" s="17"/>
      <c r="B15" s="20"/>
      <c r="C15" s="13"/>
      <c r="D15" s="16" t="s">
        <v>49</v>
      </c>
      <c r="E15" s="20">
        <v>1.3</v>
      </c>
      <c r="F15" s="13">
        <v>45</v>
      </c>
      <c r="G15" s="17"/>
      <c r="H15" s="20"/>
      <c r="I15" s="13"/>
    </row>
    <row r="16" spans="1:9" x14ac:dyDescent="0.25">
      <c r="A16" s="17"/>
      <c r="B16" s="20"/>
      <c r="C16" s="13"/>
      <c r="D16" s="15" t="s">
        <v>51</v>
      </c>
      <c r="E16" s="19">
        <v>2.76</v>
      </c>
      <c r="F16" s="12">
        <v>69</v>
      </c>
      <c r="G16" s="17"/>
      <c r="H16" s="20"/>
      <c r="I16" s="13"/>
    </row>
    <row r="17" spans="1:9" x14ac:dyDescent="0.25">
      <c r="A17" s="17"/>
      <c r="B17" s="20"/>
      <c r="C17" s="13"/>
      <c r="D17" s="15" t="s">
        <v>50</v>
      </c>
      <c r="E17" s="19">
        <v>0.88</v>
      </c>
      <c r="F17" s="12">
        <v>48</v>
      </c>
      <c r="G17" s="17"/>
      <c r="H17" s="20"/>
      <c r="I17" s="13"/>
    </row>
    <row r="18" spans="1:9" x14ac:dyDescent="0.25">
      <c r="A18" s="17"/>
      <c r="B18" s="20"/>
      <c r="C18" s="13"/>
      <c r="D18" s="15"/>
      <c r="E18" s="19"/>
      <c r="F18" s="12"/>
      <c r="G18" s="17"/>
      <c r="H18" s="20"/>
      <c r="I18" s="13"/>
    </row>
    <row r="19" spans="1:9" x14ac:dyDescent="0.25">
      <c r="A19" s="17"/>
      <c r="B19" s="20"/>
      <c r="C19" s="13"/>
      <c r="D19" s="15"/>
      <c r="E19" s="19"/>
      <c r="F19" s="12"/>
      <c r="G19" s="17"/>
      <c r="H19" s="20"/>
      <c r="I19" s="13"/>
    </row>
    <row r="20" spans="1:9" x14ac:dyDescent="0.25">
      <c r="A20" s="17" t="s">
        <v>53</v>
      </c>
      <c r="B20" s="20">
        <f>+SUM(B8:B19)</f>
        <v>3.87</v>
      </c>
      <c r="C20" s="13"/>
      <c r="D20" s="17" t="s">
        <v>53</v>
      </c>
      <c r="E20" s="20">
        <f>+SUM(E8:E19)</f>
        <v>14.510000000000003</v>
      </c>
      <c r="F20" s="12"/>
      <c r="G20" s="17" t="s">
        <v>53</v>
      </c>
      <c r="H20" s="20">
        <f>+SUM(H8:H19)</f>
        <v>4.82</v>
      </c>
      <c r="I20" s="13"/>
    </row>
    <row r="21" spans="1:9" x14ac:dyDescent="0.25">
      <c r="A21" s="27">
        <f>+B20+E20+H20</f>
        <v>23.200000000000003</v>
      </c>
      <c r="B21" s="26"/>
      <c r="C21" s="26"/>
      <c r="D21" s="26"/>
      <c r="E21" s="26"/>
      <c r="F21" s="26"/>
      <c r="G21" s="26"/>
      <c r="H21" s="26"/>
      <c r="I21" s="26"/>
    </row>
    <row r="22" spans="1:9" x14ac:dyDescent="0.25">
      <c r="A22" s="25"/>
      <c r="B22" s="10"/>
      <c r="C22" s="10"/>
      <c r="D22" s="10"/>
      <c r="E22" s="10"/>
      <c r="F22" s="10"/>
      <c r="G22" s="10"/>
      <c r="H22" s="10"/>
      <c r="I22" s="10"/>
    </row>
    <row r="23" spans="1:9" x14ac:dyDescent="0.25">
      <c r="A23" s="7">
        <v>44370</v>
      </c>
      <c r="B23" s="24" t="s">
        <v>0</v>
      </c>
      <c r="C23" s="24"/>
      <c r="D23" s="24" t="s">
        <v>1</v>
      </c>
      <c r="E23" s="24"/>
      <c r="F23" s="24"/>
      <c r="G23" s="23" t="s">
        <v>2</v>
      </c>
      <c r="H23" s="23"/>
      <c r="I23" s="23"/>
    </row>
    <row r="24" spans="1:9" x14ac:dyDescent="0.25">
      <c r="A24" s="9" t="s">
        <v>5</v>
      </c>
      <c r="B24" s="23" t="s">
        <v>4</v>
      </c>
      <c r="C24" s="23"/>
      <c r="D24" s="14" t="s">
        <v>5</v>
      </c>
      <c r="E24" s="23" t="s">
        <v>52</v>
      </c>
      <c r="F24" s="23"/>
      <c r="G24" s="14" t="s">
        <v>5</v>
      </c>
      <c r="H24" s="23" t="s">
        <v>52</v>
      </c>
      <c r="I24" s="23"/>
    </row>
    <row r="25" spans="1:9" x14ac:dyDescent="0.25">
      <c r="A25" s="9" t="s">
        <v>6</v>
      </c>
      <c r="B25" s="23" t="s">
        <v>28</v>
      </c>
      <c r="C25" s="23"/>
      <c r="D25" s="14" t="s">
        <v>6</v>
      </c>
      <c r="E25" s="23" t="s">
        <v>29</v>
      </c>
      <c r="F25" s="23"/>
      <c r="G25" s="14" t="s">
        <v>6</v>
      </c>
      <c r="H25" s="23" t="s">
        <v>30</v>
      </c>
      <c r="I25" s="23"/>
    </row>
    <row r="26" spans="1:9" x14ac:dyDescent="0.25">
      <c r="A26" s="14" t="s">
        <v>10</v>
      </c>
      <c r="B26" s="10" t="s">
        <v>47</v>
      </c>
      <c r="C26" s="11" t="s">
        <v>48</v>
      </c>
      <c r="D26" s="14" t="s">
        <v>10</v>
      </c>
      <c r="E26" s="10" t="s">
        <v>47</v>
      </c>
      <c r="F26" s="11" t="s">
        <v>48</v>
      </c>
      <c r="G26" s="14" t="s">
        <v>10</v>
      </c>
      <c r="H26" s="10" t="s">
        <v>47</v>
      </c>
      <c r="I26" s="11" t="s">
        <v>48</v>
      </c>
    </row>
    <row r="27" spans="1:9" x14ac:dyDescent="0.25">
      <c r="A27" s="17" t="s">
        <v>49</v>
      </c>
      <c r="B27" s="20">
        <v>1.08</v>
      </c>
      <c r="C27" s="13">
        <v>45</v>
      </c>
      <c r="D27" s="15" t="s">
        <v>50</v>
      </c>
      <c r="E27" s="19">
        <v>5.08</v>
      </c>
      <c r="F27" s="12">
        <v>89</v>
      </c>
      <c r="G27" s="17" t="s">
        <v>49</v>
      </c>
      <c r="H27" s="20">
        <v>1.1100000000000001</v>
      </c>
      <c r="I27" s="13">
        <v>43</v>
      </c>
    </row>
    <row r="28" spans="1:9" x14ac:dyDescent="0.25">
      <c r="A28" s="17"/>
      <c r="B28" s="20"/>
      <c r="C28" s="13"/>
      <c r="D28" s="16"/>
      <c r="E28" s="20"/>
      <c r="F28" s="13"/>
      <c r="G28" s="17" t="s">
        <v>49</v>
      </c>
      <c r="H28" s="20">
        <v>1.79</v>
      </c>
      <c r="I28" s="13">
        <v>51</v>
      </c>
    </row>
    <row r="29" spans="1:9" x14ac:dyDescent="0.25">
      <c r="A29" s="17"/>
      <c r="B29" s="20"/>
      <c r="C29" s="13"/>
      <c r="D29" s="16"/>
      <c r="E29" s="20"/>
      <c r="F29" s="13"/>
      <c r="G29" s="17" t="s">
        <v>49</v>
      </c>
      <c r="H29" s="20">
        <v>1.1499999999999999</v>
      </c>
      <c r="I29" s="13">
        <v>44</v>
      </c>
    </row>
    <row r="30" spans="1:9" x14ac:dyDescent="0.25">
      <c r="A30" s="17"/>
      <c r="B30" s="20"/>
      <c r="C30" s="13"/>
      <c r="D30" s="16"/>
      <c r="E30" s="20"/>
      <c r="F30" s="13"/>
      <c r="G30" s="17" t="s">
        <v>49</v>
      </c>
      <c r="H30" s="20">
        <v>1.33</v>
      </c>
      <c r="I30" s="13">
        <v>45</v>
      </c>
    </row>
    <row r="31" spans="1:9" x14ac:dyDescent="0.25">
      <c r="A31" s="17"/>
      <c r="B31" s="20"/>
      <c r="C31" s="13"/>
      <c r="D31" s="16"/>
      <c r="E31" s="20"/>
      <c r="F31" s="13"/>
      <c r="G31" s="17"/>
      <c r="H31" s="20"/>
      <c r="I31" s="13"/>
    </row>
    <row r="32" spans="1:9" x14ac:dyDescent="0.25">
      <c r="A32" s="17"/>
      <c r="B32" s="20"/>
      <c r="C32" s="13"/>
      <c r="D32" s="16"/>
      <c r="E32" s="20"/>
      <c r="F32" s="13"/>
      <c r="G32" s="17"/>
      <c r="H32" s="20"/>
      <c r="I32" s="13"/>
    </row>
    <row r="33" spans="1:9" x14ac:dyDescent="0.25">
      <c r="A33" s="17"/>
      <c r="B33" s="20"/>
      <c r="C33" s="13"/>
      <c r="D33" s="16"/>
      <c r="E33" s="20"/>
      <c r="F33" s="13"/>
      <c r="G33" s="17"/>
      <c r="H33" s="20"/>
      <c r="I33" s="13"/>
    </row>
    <row r="34" spans="1:9" x14ac:dyDescent="0.25">
      <c r="A34" s="17"/>
      <c r="B34" s="20"/>
      <c r="C34" s="13"/>
      <c r="D34" s="16"/>
      <c r="E34" s="20"/>
      <c r="F34" s="13"/>
      <c r="G34" s="17"/>
      <c r="H34" s="20"/>
      <c r="I34" s="13"/>
    </row>
    <row r="35" spans="1:9" x14ac:dyDescent="0.25">
      <c r="A35" s="17"/>
      <c r="B35" s="20"/>
      <c r="C35" s="13"/>
      <c r="D35" s="16"/>
      <c r="E35" s="20"/>
      <c r="F35" s="13"/>
      <c r="G35" s="17"/>
      <c r="H35" s="20"/>
      <c r="I35" s="13"/>
    </row>
    <row r="36" spans="1:9" x14ac:dyDescent="0.25">
      <c r="A36" s="17"/>
      <c r="B36" s="20"/>
      <c r="C36" s="13"/>
      <c r="D36" s="16"/>
      <c r="E36" s="20"/>
      <c r="F36" s="13"/>
      <c r="G36" s="17"/>
      <c r="H36" s="20"/>
      <c r="I36" s="13"/>
    </row>
    <row r="37" spans="1:9" x14ac:dyDescent="0.25">
      <c r="A37" s="17"/>
      <c r="B37" s="20"/>
      <c r="C37" s="13"/>
      <c r="D37" s="16"/>
      <c r="E37" s="20"/>
      <c r="F37" s="13"/>
      <c r="G37" s="17"/>
      <c r="H37" s="20"/>
      <c r="I37" s="13"/>
    </row>
    <row r="38" spans="1:9" x14ac:dyDescent="0.25">
      <c r="A38" s="17"/>
      <c r="B38" s="20"/>
      <c r="C38" s="13"/>
      <c r="D38" s="16"/>
      <c r="E38" s="20"/>
      <c r="F38" s="13"/>
      <c r="G38" s="17"/>
      <c r="H38" s="20"/>
      <c r="I38" s="13"/>
    </row>
    <row r="39" spans="1:9" x14ac:dyDescent="0.25">
      <c r="A39" s="17" t="s">
        <v>53</v>
      </c>
      <c r="B39" s="20">
        <f>+SUM(B27:B38)</f>
        <v>1.08</v>
      </c>
      <c r="C39" s="13"/>
      <c r="D39" s="17" t="s">
        <v>53</v>
      </c>
      <c r="E39" s="20">
        <f>+SUM(E27:E38)</f>
        <v>5.08</v>
      </c>
      <c r="F39" s="12"/>
      <c r="G39" s="17" t="s">
        <v>53</v>
      </c>
      <c r="H39" s="20">
        <f>+SUM(H27:H38)</f>
        <v>5.3800000000000008</v>
      </c>
      <c r="I39" s="13"/>
    </row>
    <row r="40" spans="1:9" x14ac:dyDescent="0.25">
      <c r="A40" s="27">
        <f>+B39+E39+H39</f>
        <v>11.540000000000001</v>
      </c>
      <c r="B40" s="26"/>
      <c r="C40" s="26"/>
      <c r="D40" s="26"/>
      <c r="E40" s="26"/>
      <c r="F40" s="26"/>
      <c r="G40" s="26"/>
      <c r="H40" s="26"/>
      <c r="I40" s="26"/>
    </row>
    <row r="41" spans="1:9" x14ac:dyDescent="0.25">
      <c r="A41" s="17"/>
      <c r="B41" s="20"/>
      <c r="C41" s="13"/>
      <c r="D41" s="16"/>
      <c r="E41" s="20"/>
      <c r="F41" s="13"/>
      <c r="G41" s="17"/>
      <c r="H41" s="20"/>
      <c r="I41" s="13"/>
    </row>
    <row r="42" spans="1:9" x14ac:dyDescent="0.25">
      <c r="A42" s="7">
        <v>44370</v>
      </c>
      <c r="B42" s="24" t="s">
        <v>0</v>
      </c>
      <c r="C42" s="24"/>
      <c r="D42" s="24" t="s">
        <v>1</v>
      </c>
      <c r="E42" s="24"/>
      <c r="F42" s="24"/>
      <c r="G42" s="23" t="s">
        <v>2</v>
      </c>
      <c r="H42" s="23"/>
      <c r="I42" s="23"/>
    </row>
    <row r="43" spans="1:9" x14ac:dyDescent="0.25">
      <c r="A43" s="9" t="s">
        <v>5</v>
      </c>
      <c r="B43" s="23" t="s">
        <v>4</v>
      </c>
      <c r="C43" s="23"/>
      <c r="D43" s="14" t="s">
        <v>5</v>
      </c>
      <c r="E43" s="23" t="s">
        <v>52</v>
      </c>
      <c r="F43" s="23"/>
      <c r="G43" s="14" t="s">
        <v>5</v>
      </c>
      <c r="H43" s="23" t="s">
        <v>52</v>
      </c>
      <c r="I43" s="23"/>
    </row>
    <row r="44" spans="1:9" x14ac:dyDescent="0.25">
      <c r="A44" s="9" t="s">
        <v>6</v>
      </c>
      <c r="B44" s="23" t="s">
        <v>37</v>
      </c>
      <c r="C44" s="23"/>
      <c r="D44" s="14" t="s">
        <v>6</v>
      </c>
      <c r="E44" s="23" t="s">
        <v>38</v>
      </c>
      <c r="F44" s="23"/>
      <c r="G44" s="14" t="s">
        <v>6</v>
      </c>
      <c r="H44" s="23" t="s">
        <v>39</v>
      </c>
      <c r="I44" s="23"/>
    </row>
    <row r="45" spans="1:9" x14ac:dyDescent="0.25">
      <c r="A45" s="14" t="s">
        <v>10</v>
      </c>
      <c r="B45" s="10" t="s">
        <v>47</v>
      </c>
      <c r="C45" s="11" t="s">
        <v>48</v>
      </c>
      <c r="D45" s="14" t="s">
        <v>10</v>
      </c>
      <c r="E45" s="10" t="s">
        <v>47</v>
      </c>
      <c r="F45" s="11" t="s">
        <v>48</v>
      </c>
      <c r="G45" s="14" t="s">
        <v>10</v>
      </c>
      <c r="H45" s="10" t="s">
        <v>47</v>
      </c>
      <c r="I45" s="11" t="s">
        <v>48</v>
      </c>
    </row>
    <row r="46" spans="1:9" x14ac:dyDescent="0.25">
      <c r="A46" s="17" t="s">
        <v>49</v>
      </c>
      <c r="B46" s="20">
        <v>1.52</v>
      </c>
      <c r="C46" s="13">
        <v>48</v>
      </c>
      <c r="D46" s="16"/>
      <c r="E46" s="20"/>
      <c r="F46" s="13"/>
      <c r="G46" s="17" t="s">
        <v>50</v>
      </c>
      <c r="H46" s="20">
        <v>2.99</v>
      </c>
      <c r="I46" s="13">
        <v>76</v>
      </c>
    </row>
    <row r="47" spans="1:9" x14ac:dyDescent="0.25">
      <c r="A47" s="17"/>
      <c r="B47" s="20"/>
      <c r="C47" s="13"/>
      <c r="D47" s="16"/>
      <c r="E47" s="20"/>
      <c r="F47" s="13"/>
      <c r="G47" s="17"/>
      <c r="H47" s="20"/>
      <c r="I47" s="13"/>
    </row>
    <row r="48" spans="1:9" x14ac:dyDescent="0.25">
      <c r="A48" s="17"/>
      <c r="B48" s="20"/>
      <c r="C48" s="13"/>
      <c r="D48" s="16"/>
      <c r="E48" s="20"/>
      <c r="F48" s="13"/>
      <c r="G48" s="17"/>
      <c r="H48" s="20"/>
      <c r="I48" s="13"/>
    </row>
    <row r="49" spans="1:9" x14ac:dyDescent="0.25">
      <c r="A49" s="17"/>
      <c r="B49" s="20"/>
      <c r="C49" s="13"/>
      <c r="D49" s="16"/>
      <c r="E49" s="20"/>
      <c r="F49" s="13"/>
      <c r="G49" s="17"/>
      <c r="H49" s="20"/>
      <c r="I49" s="13"/>
    </row>
    <row r="50" spans="1:9" x14ac:dyDescent="0.25">
      <c r="A50" s="17"/>
      <c r="B50" s="20"/>
      <c r="C50" s="13"/>
      <c r="D50" s="16"/>
      <c r="E50" s="20"/>
      <c r="F50" s="13"/>
      <c r="G50" s="17"/>
      <c r="H50" s="20"/>
      <c r="I50" s="13"/>
    </row>
    <row r="51" spans="1:9" x14ac:dyDescent="0.25">
      <c r="A51" s="17"/>
      <c r="B51" s="20"/>
      <c r="C51" s="13"/>
      <c r="D51" s="16"/>
      <c r="E51" s="20"/>
      <c r="F51" s="13"/>
      <c r="G51" s="17"/>
      <c r="H51" s="20"/>
      <c r="I51" s="13"/>
    </row>
    <row r="52" spans="1:9" x14ac:dyDescent="0.25">
      <c r="A52" s="17"/>
      <c r="B52" s="20"/>
      <c r="C52" s="13"/>
      <c r="D52" s="16"/>
      <c r="E52" s="20"/>
      <c r="F52" s="13"/>
      <c r="G52" s="17"/>
      <c r="H52" s="20"/>
      <c r="I52" s="13"/>
    </row>
    <row r="53" spans="1:9" x14ac:dyDescent="0.25">
      <c r="A53" s="17"/>
      <c r="B53" s="20"/>
      <c r="C53" s="13"/>
      <c r="D53" s="16"/>
      <c r="E53" s="20"/>
      <c r="F53" s="13"/>
      <c r="G53" s="17"/>
      <c r="H53" s="20"/>
      <c r="I53" s="13"/>
    </row>
    <row r="54" spans="1:9" x14ac:dyDescent="0.25">
      <c r="A54" s="17"/>
      <c r="B54" s="20"/>
      <c r="C54" s="13"/>
      <c r="D54" s="16"/>
      <c r="E54" s="20"/>
      <c r="F54" s="13"/>
      <c r="G54" s="17"/>
      <c r="H54" s="20"/>
      <c r="I54" s="13"/>
    </row>
    <row r="55" spans="1:9" x14ac:dyDescent="0.25">
      <c r="A55" s="17"/>
      <c r="B55" s="20"/>
      <c r="C55" s="13"/>
      <c r="D55" s="16"/>
      <c r="E55" s="20"/>
      <c r="F55" s="13"/>
      <c r="G55" s="17"/>
      <c r="H55" s="20"/>
      <c r="I55" s="13"/>
    </row>
    <row r="56" spans="1:9" x14ac:dyDescent="0.25">
      <c r="A56" s="17"/>
      <c r="B56" s="20"/>
      <c r="C56" s="13"/>
      <c r="D56" s="16"/>
      <c r="E56" s="20"/>
      <c r="F56" s="13"/>
      <c r="G56" s="17"/>
      <c r="H56" s="20"/>
      <c r="I56" s="13"/>
    </row>
    <row r="57" spans="1:9" x14ac:dyDescent="0.25">
      <c r="A57" s="17"/>
      <c r="B57" s="20"/>
      <c r="C57" s="13"/>
      <c r="D57" s="16"/>
      <c r="E57" s="20"/>
      <c r="F57" s="13"/>
      <c r="G57" s="17"/>
      <c r="H57" s="20"/>
      <c r="I57" s="13"/>
    </row>
    <row r="58" spans="1:9" x14ac:dyDescent="0.25">
      <c r="A58" s="17" t="s">
        <v>53</v>
      </c>
      <c r="B58" s="20">
        <f>+SUM(B46:B57)</f>
        <v>1.52</v>
      </c>
      <c r="C58" s="13"/>
      <c r="D58" s="17" t="s">
        <v>53</v>
      </c>
      <c r="E58" s="20">
        <f>+SUM(E46:E57)</f>
        <v>0</v>
      </c>
      <c r="F58" s="12"/>
      <c r="G58" s="17" t="s">
        <v>53</v>
      </c>
      <c r="H58" s="20">
        <f>+SUM(H46:H57)</f>
        <v>2.99</v>
      </c>
      <c r="I58" s="13"/>
    </row>
    <row r="59" spans="1:9" x14ac:dyDescent="0.25">
      <c r="A59" s="27">
        <f>+B58+E58+H58</f>
        <v>4.51</v>
      </c>
      <c r="B59" s="26"/>
      <c r="C59" s="26"/>
      <c r="D59" s="26"/>
      <c r="E59" s="26"/>
      <c r="F59" s="26"/>
      <c r="G59" s="26"/>
      <c r="H59" s="26"/>
      <c r="I59" s="26"/>
    </row>
    <row r="60" spans="1:9" x14ac:dyDescent="0.25">
      <c r="A60" s="17"/>
      <c r="B60" s="20"/>
      <c r="C60" s="13"/>
      <c r="D60" s="16"/>
      <c r="E60" s="20"/>
      <c r="F60" s="13"/>
      <c r="G60" s="17"/>
      <c r="H60" s="20"/>
      <c r="I60" s="13"/>
    </row>
    <row r="61" spans="1:9" x14ac:dyDescent="0.25">
      <c r="A61" s="6" t="s">
        <v>43</v>
      </c>
      <c r="G61" s="17"/>
    </row>
    <row r="62" spans="1:9" x14ac:dyDescent="0.25">
      <c r="A62" s="6" t="s">
        <v>44</v>
      </c>
      <c r="G62" s="17"/>
    </row>
    <row r="63" spans="1:9" x14ac:dyDescent="0.25">
      <c r="A63" s="6" t="s">
        <v>45</v>
      </c>
      <c r="G63" s="17"/>
    </row>
    <row r="64" spans="1:9" x14ac:dyDescent="0.25">
      <c r="A64" s="6" t="s">
        <v>46</v>
      </c>
      <c r="G64" s="17"/>
    </row>
    <row r="65" spans="7:7" x14ac:dyDescent="0.25">
      <c r="G65" s="17"/>
    </row>
    <row r="66" spans="7:7" x14ac:dyDescent="0.25">
      <c r="G66" s="17"/>
    </row>
    <row r="67" spans="7:7" x14ac:dyDescent="0.25">
      <c r="G67" s="17"/>
    </row>
    <row r="68" spans="7:7" x14ac:dyDescent="0.25">
      <c r="G68" s="17"/>
    </row>
    <row r="69" spans="7:7" x14ac:dyDescent="0.25">
      <c r="G69" s="17"/>
    </row>
  </sheetData>
  <mergeCells count="31">
    <mergeCell ref="B44:C44"/>
    <mergeCell ref="E44:F44"/>
    <mergeCell ref="H44:I44"/>
    <mergeCell ref="A59:I59"/>
    <mergeCell ref="A40:I40"/>
    <mergeCell ref="B42:C42"/>
    <mergeCell ref="D42:F42"/>
    <mergeCell ref="G42:I42"/>
    <mergeCell ref="B43:C43"/>
    <mergeCell ref="E43:F43"/>
    <mergeCell ref="H43:I43"/>
    <mergeCell ref="B24:C24"/>
    <mergeCell ref="E24:F24"/>
    <mergeCell ref="H24:I24"/>
    <mergeCell ref="B25:C25"/>
    <mergeCell ref="E25:F25"/>
    <mergeCell ref="H25:I25"/>
    <mergeCell ref="B6:C6"/>
    <mergeCell ref="E6:F6"/>
    <mergeCell ref="H6:I6"/>
    <mergeCell ref="A21:I21"/>
    <mergeCell ref="B23:C23"/>
    <mergeCell ref="D23:F23"/>
    <mergeCell ref="G23:I23"/>
    <mergeCell ref="A1:I1"/>
    <mergeCell ref="B4:C4"/>
    <mergeCell ref="D4:F4"/>
    <mergeCell ref="G4:I4"/>
    <mergeCell ref="B5:C5"/>
    <mergeCell ref="E5:F5"/>
    <mergeCell ref="H5:I5"/>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Sayfa2</vt:lpstr>
      <vt:lpstr>Sonuç</vt:lpstr>
      <vt:lpstr>Sayfa3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2021-06-30T12:05:40Z</dcterms:modified>
</cp:coreProperties>
</file>